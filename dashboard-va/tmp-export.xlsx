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go365-my.sharepoint.com/personal/pitsanuk_scg_com/Documents/32. VA Committee/TMMA VA KPI 2026/"/>
    </mc:Choice>
  </mc:AlternateContent>
  <xr:revisionPtr revIDLastSave="21" documentId="13_ncr:1_{43EF97E1-3EF8-4881-83F3-030A5FF5681D}" xr6:coauthVersionLast="47" xr6:coauthVersionMax="47" xr10:uidLastSave="{D0D228CC-089A-457E-8516-D7F4691FB20B}"/>
  <bookViews>
    <workbookView xWindow="-28920" yWindow="1725" windowWidth="29040" windowHeight="15720" firstSheet="1" activeTab="1" xr2:uid="{3828A355-89B1-4521-B9F8-6536603693BC}"/>
  </bookViews>
  <sheets>
    <sheet name="Sheet1" sheetId="1" state="hidden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5" i="2" l="1"/>
  <c r="AG35" i="2"/>
  <c r="W35" i="2"/>
  <c r="X35" i="2"/>
  <c r="Y35" i="2"/>
  <c r="Z35" i="2"/>
  <c r="AA35" i="2"/>
  <c r="AB35" i="2"/>
  <c r="AC35" i="2"/>
  <c r="AD35" i="2"/>
  <c r="AE35" i="2"/>
  <c r="V35" i="2"/>
  <c r="T62" i="2" l="1"/>
  <c r="S62" i="2"/>
  <c r="R62" i="2"/>
  <c r="Q62" i="2"/>
  <c r="P62" i="2"/>
  <c r="O62" i="2"/>
  <c r="N62" i="2"/>
  <c r="M62" i="2"/>
  <c r="L62" i="2"/>
  <c r="K62" i="2"/>
  <c r="J62" i="2"/>
  <c r="I62" i="2"/>
  <c r="T60" i="2"/>
  <c r="S60" i="2"/>
  <c r="R60" i="2"/>
  <c r="Q60" i="2"/>
  <c r="P60" i="2"/>
  <c r="O60" i="2"/>
  <c r="N60" i="2"/>
  <c r="M60" i="2"/>
  <c r="L60" i="2"/>
  <c r="K60" i="2"/>
  <c r="J60" i="2"/>
  <c r="I60" i="2"/>
  <c r="J58" i="2"/>
  <c r="K58" i="2"/>
  <c r="L58" i="2"/>
  <c r="M58" i="2"/>
  <c r="N58" i="2"/>
  <c r="O58" i="2"/>
  <c r="P58" i="2"/>
  <c r="Q58" i="2"/>
  <c r="R58" i="2"/>
  <c r="S58" i="2"/>
  <c r="T58" i="2"/>
  <c r="I58" i="2"/>
  <c r="F8" i="2" l="1"/>
  <c r="I8" i="2"/>
  <c r="J7" i="2" l="1"/>
  <c r="K7" i="2"/>
  <c r="L7" i="2"/>
  <c r="M7" i="2"/>
  <c r="N7" i="2"/>
  <c r="O7" i="2"/>
  <c r="P7" i="2"/>
  <c r="Q7" i="2"/>
  <c r="R7" i="2"/>
  <c r="S7" i="2"/>
  <c r="T7" i="2"/>
  <c r="I7" i="2"/>
  <c r="F45" i="2" l="1"/>
  <c r="T45" i="2"/>
  <c r="S45" i="2"/>
  <c r="R45" i="2"/>
  <c r="Q45" i="2"/>
  <c r="P45" i="2"/>
  <c r="O45" i="2"/>
  <c r="N45" i="2"/>
  <c r="M45" i="2"/>
  <c r="L45" i="2"/>
  <c r="K45" i="2"/>
  <c r="J45" i="2"/>
  <c r="I45" i="2"/>
  <c r="F43" i="2"/>
  <c r="T43" i="2"/>
  <c r="S43" i="2"/>
  <c r="R43" i="2"/>
  <c r="Q43" i="2"/>
  <c r="P43" i="2"/>
  <c r="O43" i="2"/>
  <c r="N43" i="2"/>
  <c r="M43" i="2"/>
  <c r="L43" i="2"/>
  <c r="K43" i="2"/>
  <c r="J43" i="2"/>
  <c r="I43" i="2"/>
  <c r="F41" i="2"/>
  <c r="T41" i="2"/>
  <c r="S41" i="2"/>
  <c r="R41" i="2"/>
  <c r="Q41" i="2"/>
  <c r="P41" i="2"/>
  <c r="O41" i="2"/>
  <c r="N41" i="2"/>
  <c r="M41" i="2"/>
  <c r="L41" i="2"/>
  <c r="K41" i="2"/>
  <c r="J41" i="2"/>
  <c r="I41" i="2"/>
  <c r="T16" i="2"/>
  <c r="S16" i="2"/>
  <c r="R16" i="2"/>
  <c r="Q16" i="2"/>
  <c r="P16" i="2"/>
  <c r="O16" i="2"/>
  <c r="N16" i="2"/>
  <c r="M16" i="2"/>
  <c r="L16" i="2"/>
  <c r="K16" i="2"/>
  <c r="J16" i="2"/>
  <c r="I16" i="2"/>
  <c r="I14" i="2"/>
  <c r="J14" i="2"/>
  <c r="K14" i="2"/>
  <c r="L14" i="2"/>
  <c r="M14" i="2"/>
  <c r="N14" i="2"/>
  <c r="O14" i="2"/>
  <c r="P14" i="2"/>
  <c r="Q14" i="2"/>
  <c r="R14" i="2"/>
  <c r="S14" i="2"/>
  <c r="T14" i="2"/>
  <c r="T12" i="2"/>
  <c r="S12" i="2"/>
  <c r="R12" i="2"/>
  <c r="Q12" i="2"/>
  <c r="P12" i="2"/>
  <c r="O12" i="2"/>
  <c r="N12" i="2"/>
  <c r="M12" i="2"/>
  <c r="L12" i="2"/>
  <c r="K12" i="2"/>
  <c r="J12" i="2"/>
  <c r="I12" i="2"/>
  <c r="I10" i="2"/>
  <c r="J10" i="2"/>
  <c r="K10" i="2"/>
  <c r="L10" i="2"/>
  <c r="M10" i="2"/>
  <c r="N10" i="2"/>
  <c r="O10" i="2"/>
  <c r="P10" i="2"/>
  <c r="Q10" i="2"/>
  <c r="R10" i="2"/>
  <c r="S10" i="2"/>
  <c r="T10" i="2"/>
  <c r="F14" i="2" l="1"/>
  <c r="F16" i="2"/>
  <c r="I28" i="2"/>
  <c r="K26" i="2"/>
  <c r="J26" i="2"/>
  <c r="I26" i="2"/>
  <c r="I24" i="2"/>
  <c r="L26" i="2" l="1"/>
  <c r="T26" i="2" l="1"/>
  <c r="Q26" i="2"/>
  <c r="P26" i="2"/>
  <c r="S26" i="2" l="1"/>
  <c r="R26" i="2" l="1"/>
  <c r="O26" i="2" l="1"/>
  <c r="N26" i="2" l="1"/>
  <c r="M26" i="2" l="1"/>
  <c r="F26" i="2" l="1"/>
  <c r="F42" i="2" l="1"/>
  <c r="F12" i="2"/>
  <c r="F15" i="2" l="1"/>
  <c r="F11" i="2"/>
  <c r="F13" i="2"/>
  <c r="F17" i="2"/>
  <c r="F10" i="2" l="1"/>
  <c r="I3" i="2"/>
  <c r="J3" i="2"/>
  <c r="K3" i="2"/>
  <c r="L3" i="2"/>
  <c r="M3" i="2"/>
  <c r="N3" i="2"/>
  <c r="O3" i="2"/>
  <c r="P3" i="2"/>
  <c r="Q3" i="2"/>
  <c r="R3" i="2"/>
  <c r="S3" i="2"/>
  <c r="T3" i="2"/>
  <c r="F4" i="2"/>
  <c r="I5" i="2"/>
  <c r="J5" i="2"/>
  <c r="K5" i="2"/>
  <c r="L5" i="2"/>
  <c r="M5" i="2"/>
  <c r="N5" i="2"/>
  <c r="O5" i="2"/>
  <c r="P5" i="2"/>
  <c r="Q5" i="2"/>
  <c r="R5" i="2"/>
  <c r="S5" i="2"/>
  <c r="T5" i="2"/>
  <c r="F24" i="2"/>
  <c r="J24" i="2"/>
  <c r="K24" i="2"/>
  <c r="L24" i="2"/>
  <c r="M24" i="2"/>
  <c r="N24" i="2"/>
  <c r="O24" i="2"/>
  <c r="P24" i="2"/>
  <c r="Q24" i="2"/>
  <c r="R24" i="2"/>
  <c r="S24" i="2"/>
  <c r="T24" i="2"/>
  <c r="F28" i="2"/>
  <c r="J28" i="2"/>
  <c r="K28" i="2"/>
  <c r="L28" i="2"/>
  <c r="M28" i="2"/>
  <c r="N28" i="2"/>
  <c r="O28" i="2"/>
  <c r="P28" i="2"/>
  <c r="Q28" i="2"/>
  <c r="R28" i="2"/>
  <c r="S28" i="2"/>
  <c r="T28" i="2"/>
  <c r="F5" i="2" l="1"/>
  <c r="F3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SCGDXC</author>
  </authors>
  <commentList>
    <comment ref="I2" authorId="0" shapeId="0" xr:uid="{B86FCBBF-C255-45C6-8D35-B99505DE4E96}">
      <text>
        <r>
          <rPr>
            <b/>
            <sz val="9"/>
            <color indexed="81"/>
            <rFont val="Tahoma"/>
            <family val="2"/>
          </rPr>
          <t>SCGDXC:</t>
        </r>
        <r>
          <rPr>
            <sz val="9"/>
            <color indexed="81"/>
            <rFont val="Tahoma"/>
            <family val="2"/>
          </rPr>
          <t xml:space="preserve">
Kwang Confirm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Kwang</author>
  </authors>
  <commentList>
    <comment ref="C18" authorId="0" shapeId="0" xr:uid="{0D8C3DD8-73D2-4161-A559-29FB0F65BEAD}">
      <text>
        <r>
          <rPr>
            <b/>
            <sz val="9"/>
            <color indexed="81"/>
            <rFont val="Tahoma"/>
            <family val="2"/>
          </rPr>
          <t>Margin over rawmat
- VC-Selling
- Packing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D8DFFFA4-2B24-40FB-97D2-696616BBDED1}">
      <text>
        <r>
          <rPr>
            <b/>
            <sz val="9"/>
            <color indexed="81"/>
            <rFont val="Tahoma"/>
            <family val="2"/>
          </rPr>
          <t>Plant gate cost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9" authorId="0" shapeId="0" xr:uid="{936C7B1B-882F-4523-9AC8-E02EE1F1CD39}">
      <text>
        <r>
          <rPr>
            <b/>
            <sz val="9"/>
            <color indexed="81"/>
            <rFont val="Tahoma"/>
            <family val="2"/>
          </rPr>
          <t>Plant gate cost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<sst xmlns="http://schemas.openxmlformats.org/spreadsheetml/2006/main" count="229" uniqueCount="111">
  <si>
    <t>Leader by strategy</t>
  </si>
  <si>
    <t> PIC</t>
  </si>
  <si>
    <t>1. Maximize MAA sale vol, margin</t>
  </si>
  <si>
    <t>Meng</t>
  </si>
  <si>
    <t>&gt;50 MB. (Exprice +50 USD/MT)</t>
  </si>
  <si>
    <t>2. Optimize business model for BMA and MMA</t>
  </si>
  <si>
    <t>Golffy</t>
  </si>
  <si>
    <t>&gt;70 MB (Exprice +100 USD/MT)</t>
  </si>
  <si>
    <t>3. Sheet : Regional development, Increase net con, etc.</t>
  </si>
  <si>
    <t>P'ODDY</t>
  </si>
  <si>
    <t>&gt;20 MB (same profit as Y25)</t>
  </si>
  <si>
    <t>4. Supply chain feed cost </t>
  </si>
  <si>
    <t>Ua</t>
  </si>
  <si>
    <t>&gt;20 MB. (BOH/C4 optimization/spot)</t>
  </si>
  <si>
    <t>5. MMA Cost reduction to be 1st PGC</t>
  </si>
  <si>
    <t>Benz</t>
  </si>
  <si>
    <t>&gt;60 MB (VCP -20USD/MT)</t>
  </si>
  <si>
    <t>6. Other VC cost (Maintenance)</t>
  </si>
  <si>
    <t>P’Bob</t>
  </si>
  <si>
    <t>&gt;30 MB</t>
  </si>
  <si>
    <t>7. Other VC cost -price (Cat/Chemical/UT/Flim/color/pallet)</t>
  </si>
  <si>
    <t>P’Toi</t>
  </si>
  <si>
    <t>&gt;40 MB</t>
  </si>
  <si>
    <t>8. Distribution and service cost (store+stock)</t>
  </si>
  <si>
    <t>Kija</t>
  </si>
  <si>
    <t>&gt;40 MB. (Transport 392 MB*10%)</t>
  </si>
  <si>
    <t>Target  additional 330 MB from Budget 26</t>
  </si>
  <si>
    <t>Sub KPI 1</t>
  </si>
  <si>
    <t>MAA sale Volume</t>
  </si>
  <si>
    <t>Target</t>
  </si>
  <si>
    <t>Actual</t>
  </si>
  <si>
    <t>MAA Ex Price</t>
  </si>
  <si>
    <t>KPI &amp; KAI</t>
  </si>
  <si>
    <t xml:space="preserve">Lag KPI </t>
  </si>
  <si>
    <t xml:space="preserve">COI Company </t>
  </si>
  <si>
    <t>KAI</t>
  </si>
  <si>
    <t>1. FI project</t>
  </si>
  <si>
    <t>Sheet sale volume</t>
  </si>
  <si>
    <t>Sheet net cons. (USD/T)</t>
  </si>
  <si>
    <t>MeoH price</t>
  </si>
  <si>
    <t>iBOH price</t>
  </si>
  <si>
    <t>nBOH price</t>
  </si>
  <si>
    <t>Sub KPI 2</t>
  </si>
  <si>
    <t>Sub KPI 3</t>
  </si>
  <si>
    <t>Plan</t>
  </si>
  <si>
    <t>2025
YTD</t>
  </si>
  <si>
    <t>Profit (MB)</t>
  </si>
  <si>
    <t>VR from VA (MB)</t>
  </si>
  <si>
    <t>BG</t>
  </si>
  <si>
    <t>I-BMA1, N-BMA2</t>
  </si>
  <si>
    <t>I-BMA Ex Price
N-BMA Ex Price</t>
  </si>
  <si>
    <t>Total MMA PGC</t>
  </si>
  <si>
    <t>Total MMA PVC</t>
  </si>
  <si>
    <t>MTN VC total (MB)</t>
  </si>
  <si>
    <t>2xx</t>
  </si>
  <si>
    <t>VR</t>
  </si>
  <si>
    <t>Ex-price over feed</t>
  </si>
  <si>
    <t>Transportation by Product
 (USD/T)</t>
  </si>
  <si>
    <t>Working Cap. (MB) -&gt; FOH</t>
  </si>
  <si>
    <t>Lead KPI</t>
  </si>
  <si>
    <t>BMA sales volume</t>
  </si>
  <si>
    <t>MAA sales volume</t>
  </si>
  <si>
    <t>VA Gr. 3</t>
  </si>
  <si>
    <t>Target  additional 330 MB</t>
  </si>
  <si>
    <t>from Budget 26</t>
  </si>
  <si>
    <t>Total = 70 MB</t>
  </si>
  <si>
    <t>VA Gr. 5</t>
  </si>
  <si>
    <t>VA Gr. 1,2</t>
  </si>
  <si>
    <t>MMA Ex-Price (XF)</t>
  </si>
  <si>
    <t>MAA Ex-price (XF)</t>
  </si>
  <si>
    <t>Sheet Ex-Price (XF)</t>
  </si>
  <si>
    <t>IBMA Ex-Price (XF)</t>
  </si>
  <si>
    <t>NBMA Ex-Price (XF)</t>
  </si>
  <si>
    <t>Sale Volume (Ton)</t>
  </si>
  <si>
    <t>VA Gr. 6</t>
  </si>
  <si>
    <t>Overall</t>
  </si>
  <si>
    <t>VA Gr. 7</t>
  </si>
  <si>
    <t>Plant Gate Cost MMA (USD/T)</t>
  </si>
  <si>
    <t>Transport  (USD/T)</t>
  </si>
  <si>
    <t>VA Gr. 8</t>
  </si>
  <si>
    <t>Transportation cost MMA (USD/T)</t>
  </si>
  <si>
    <t>MTN AVG Cost MMA (USD/T)</t>
  </si>
  <si>
    <t>Cat&amp;Chem Cost (USD/T)</t>
  </si>
  <si>
    <t>Transportation cost MAA (USD/T)</t>
  </si>
  <si>
    <t>Transportation cost BMA (USD/T)</t>
  </si>
  <si>
    <t>Working Cap. CCS (USD/T)</t>
  </si>
  <si>
    <t>Margin over Feed (USD/T)</t>
  </si>
  <si>
    <t>2. Think Tank projects (additional</t>
  </si>
  <si>
    <t>Estimate</t>
  </si>
  <si>
    <t>2026 
Est Full</t>
  </si>
  <si>
    <t>Note</t>
  </si>
  <si>
    <t>RM Cost (USD/T)</t>
  </si>
  <si>
    <t>VA Gr. 4, 5</t>
  </si>
  <si>
    <t>VCP Cost (USD/T)</t>
  </si>
  <si>
    <t>Plant Gate Cost Sheet (USD/T)</t>
  </si>
  <si>
    <t>PGC Sheet (USD/T)</t>
  </si>
  <si>
    <t>PGC MMA (USD/T)</t>
  </si>
  <si>
    <t>PGC cost compare MCHZC change with Mobj</t>
  </si>
  <si>
    <t>Exprice P' Yai will send to N' Kwang</t>
  </si>
  <si>
    <t>By</t>
  </si>
  <si>
    <t>Arm</t>
  </si>
  <si>
    <t>P' Yai</t>
  </si>
  <si>
    <t>Volume base on MCC BG</t>
  </si>
  <si>
    <t>N' Kwang</t>
  </si>
  <si>
    <t>Transportation cost base on MCC BG</t>
  </si>
  <si>
    <t>Develop sharepoint for project update</t>
  </si>
  <si>
    <t>P' Nu</t>
  </si>
  <si>
    <t>Revise Member -&gt; P' Toi add to committee</t>
  </si>
  <si>
    <t>P' Toi</t>
  </si>
  <si>
    <t>MMA sales volume</t>
  </si>
  <si>
    <t>MCC 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</si>
</sst>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-* #,##0_-;\-* #,##0_-;_-* &quot;-&quot;_-;_-@_-"/>
    <numFmt numFmtId="167" formatCode="_-* #,##0.00_-;\-* #,##0.00_-;_-* &quot;-&quot;??_-;_-@_-"/>
    <numFmt numFmtId="168" formatCode="General_)"/>
    <numFmt numFmtId="169" formatCode="\t0.00"/>
    <numFmt numFmtId="170" formatCode="0.000_)"/>
    <numFmt numFmtId="171" formatCode="#,##0\ \ \ \ _);\(#,##0\)\ \ \ \ ;\-\ \ \ \ \ "/>
    <numFmt numFmtId="172" formatCode="#,##0.0\ \ \ _);\(#,##0.0\)\ \ ;\-\ \ \ \ "/>
    <numFmt numFmtId="173" formatCode="#,##0.0\ \ \ \ _);\(#,##0.0\)\ \ \ \ ;\-\ \ \ \ \ "/>
    <numFmt numFmtId="174" formatCode="#,##0.0\ \ \ \ \ \ \ _);\(#,##0.0\)\ \ \ \ \ \ \ ;\-\ \ \ \ \ \ \ \ "/>
    <numFmt numFmtId="175" formatCode="_(* #,##0.00_);_(* \(#,##0.00\);_(* &quot;-&quot;_);_(@_)"/>
    <numFmt numFmtId="176" formatCode="#,##0.00\ \ _);\(#,##0.00\)\ \ ;\-\ \ \ \ \ "/>
    <numFmt numFmtId="177" formatCode="#,##0.00\ \ \ \ _);\(#,##0.00\)\ \ \ \ ;\-\ \ \ \ \ "/>
    <numFmt numFmtId="178" formatCode="&quot;*&quot;\ \ \ \ \ \ \ \ \ #,##0.0_);\(#,##0.0\)"/>
    <numFmt numFmtId="179" formatCode="dd\-mmm\-yy_)"/>
    <numFmt numFmtId="180" formatCode="0.00_)"/>
    <numFmt numFmtId="181" formatCode="&quot;$&quot;#,##0.00;[Red]\(&quot;$&quot;#,##0.00\)"/>
    <numFmt numFmtId="182" formatCode="_(* 0.000E+0_);_(* \-0.000E+0;_(* &quot;&quot;_);_(@_)"/>
    <numFmt numFmtId="183" formatCode="_ * #,##0.00_ ;_ * \-#,##0.00_ ;_ * &quot;-&quot;??_ ;_ @_ "/>
    <numFmt numFmtId="184" formatCode="_ * #,##0_ ;_ * \-#,##0_ ;_ * &quot;-&quot;_ ;_ @_ "/>
    <numFmt numFmtId="185" formatCode="&quot;\&quot;#,##0.00;[Red]&quot;\&quot;\-#,##0.00"/>
    <numFmt numFmtId="186" formatCode="&quot;\&quot;#,##0;[Red]&quot;\&quot;\-#,##0"/>
    <numFmt numFmtId="187" formatCode="&quot;฿&quot;\t#,##0_);[Red]\(&quot;฿&quot;\t#,##0\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b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FF"/>
      <name val="Calibri"/>
      <family val="2"/>
    </font>
    <font>
      <b/>
      <sz val="12"/>
      <color rgb="FF00206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indexed="36"/>
      <name val="lr oSVbN"/>
      <family val="3"/>
      <charset val="128"/>
    </font>
    <font>
      <u/>
      <sz val="11"/>
      <color indexed="12"/>
      <name val="lr oSVbN"/>
      <family val="3"/>
      <charset val="128"/>
    </font>
    <font>
      <sz val="14"/>
      <name val="lr ¾©"/>
      <family val="1"/>
      <charset val="128"/>
    </font>
    <font>
      <sz val="14"/>
      <name val="AngsanaUPC"/>
      <family val="1"/>
      <charset val="222"/>
    </font>
    <font>
      <sz val="14"/>
      <name val="AngsanaUPC"/>
      <family val="1"/>
    </font>
    <font>
      <sz val="8"/>
      <name val="Arial"/>
      <family val="2"/>
    </font>
    <font>
      <sz val="10"/>
      <name val="Helv"/>
    </font>
    <font>
      <sz val="10"/>
      <name val="Arial"/>
      <family val="2"/>
    </font>
    <font>
      <sz val="11"/>
      <name val="Tms Rmn"/>
      <family val="1"/>
    </font>
    <font>
      <sz val="10"/>
      <name val="Times New Roman"/>
      <family val="1"/>
    </font>
    <font>
      <sz val="10"/>
      <name val="Helvetica"/>
      <family val="2"/>
    </font>
    <font>
      <sz val="10"/>
      <name val="MS Sans Serif"/>
      <family val="2"/>
      <charset val="222"/>
    </font>
    <font>
      <sz val="12"/>
      <name val="Arial"/>
      <family val="2"/>
    </font>
    <font>
      <sz val="10"/>
      <color indexed="12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8"/>
      <name val="Helv"/>
    </font>
    <font>
      <sz val="7"/>
      <name val="Small Fonts"/>
      <family val="2"/>
    </font>
    <font>
      <b/>
      <i/>
      <sz val="16"/>
      <name val="Helv"/>
      <family val="2"/>
    </font>
    <font>
      <sz val="28"/>
      <name val="Angsana New"/>
      <family val="1"/>
      <charset val="222"/>
    </font>
    <font>
      <sz val="10"/>
      <color indexed="8"/>
      <name val="Arial"/>
      <family val="2"/>
    </font>
    <font>
      <sz val="10"/>
      <color indexed="33"/>
      <name val="Arial"/>
      <family val="2"/>
    </font>
    <font>
      <sz val="22"/>
      <name val="AngsanaUPC"/>
      <family val="1"/>
    </font>
    <font>
      <sz val="12"/>
      <name val="Helv"/>
    </font>
    <font>
      <u/>
      <sz val="14"/>
      <color indexed="36"/>
      <name val="Cordia New"/>
      <family val="2"/>
    </font>
    <font>
      <sz val="12"/>
      <name val="นูลมรผ"/>
      <charset val="129"/>
    </font>
    <font>
      <sz val="14"/>
      <name val="Cordia New"/>
      <family val="3"/>
    </font>
    <font>
      <sz val="11"/>
      <name val="ＭＳ Ｐゴシック"/>
      <family val="3"/>
      <charset val="128"/>
    </font>
    <font>
      <sz val="14"/>
      <name val="Arial"/>
      <family val="2"/>
    </font>
    <font>
      <sz val="14"/>
      <name val="CordiaUPC"/>
      <family val="2"/>
      <charset val="222"/>
    </font>
    <font>
      <sz val="11"/>
      <color indexed="8"/>
      <name val="Tahoma"/>
      <family val="2"/>
    </font>
    <font>
      <sz val="11"/>
      <color indexed="9"/>
      <name val="Tahoma"/>
      <family val="2"/>
    </font>
    <font>
      <b/>
      <sz val="10"/>
      <name val="Tms Rmn"/>
      <charset val="222"/>
    </font>
    <font>
      <b/>
      <sz val="11"/>
      <color indexed="52"/>
      <name val="Tahoma"/>
      <family val="2"/>
    </font>
    <font>
      <sz val="11"/>
      <color indexed="10"/>
      <name val="Tahoma"/>
      <family val="2"/>
    </font>
    <font>
      <i/>
      <sz val="11"/>
      <color indexed="23"/>
      <name val="Tahoma"/>
      <family val="2"/>
    </font>
    <font>
      <b/>
      <sz val="18"/>
      <color indexed="56"/>
      <name val="Tahoma"/>
      <family val="2"/>
    </font>
    <font>
      <u/>
      <sz val="8.4"/>
      <color indexed="12"/>
      <name val="Arial"/>
      <family val="2"/>
    </font>
    <font>
      <b/>
      <sz val="11"/>
      <color indexed="9"/>
      <name val="Tahoma"/>
      <family val="2"/>
    </font>
    <font>
      <sz val="11"/>
      <color indexed="52"/>
      <name val="Tahoma"/>
      <family val="2"/>
    </font>
    <font>
      <sz val="11"/>
      <color indexed="17"/>
      <name val="Tahoma"/>
      <family val="2"/>
    </font>
    <font>
      <sz val="11"/>
      <color indexed="62"/>
      <name val="Tahoma"/>
      <family val="2"/>
    </font>
    <font>
      <sz val="11"/>
      <color indexed="60"/>
      <name val="Tahoma"/>
      <family val="2"/>
    </font>
    <font>
      <b/>
      <sz val="11"/>
      <color indexed="8"/>
      <name val="Tahoma"/>
      <family val="2"/>
    </font>
    <font>
      <sz val="11"/>
      <color indexed="20"/>
      <name val="Tahoma"/>
      <family val="2"/>
    </font>
    <font>
      <b/>
      <sz val="11"/>
      <color indexed="63"/>
      <name val="Tahoma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2"/>
      <name val="นูลมรผ"/>
    </font>
    <font>
      <b/>
      <vertAlign val="superscript"/>
      <sz val="12"/>
      <name val="Arial"/>
      <family val="2"/>
    </font>
    <font>
      <b/>
      <i/>
      <sz val="16"/>
      <name val="Helv"/>
    </font>
    <font>
      <sz val="11"/>
      <color theme="1"/>
      <name val="Calibri"/>
      <family val="2"/>
      <charset val="128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A8EC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indexed="3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392">
    <xf numFmtId="0" fontId="0" fillId="0" borderId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/>
    <xf numFmtId="9" fontId="18" fillId="0" borderId="0"/>
    <xf numFmtId="9" fontId="19" fillId="0" borderId="0"/>
    <xf numFmtId="165" fontId="20" fillId="18" borderId="64" applyNumberFormat="0" applyFont="0" applyBorder="0" applyAlignment="0" applyProtection="0"/>
    <xf numFmtId="165" fontId="20" fillId="18" borderId="64" applyNumberFormat="0" applyFont="0" applyBorder="0" applyAlignment="0" applyProtection="0"/>
    <xf numFmtId="168" fontId="21" fillId="19" borderId="0" applyNumberFormat="0" applyFont="0" applyBorder="0" applyAlignment="0" applyProtection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169" fontId="22" fillId="0" borderId="0"/>
    <xf numFmtId="169" fontId="22" fillId="0" borderId="0"/>
    <xf numFmtId="169" fontId="22" fillId="0" borderId="0"/>
    <xf numFmtId="170" fontId="23" fillId="0" borderId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4" fillId="0" borderId="0"/>
    <xf numFmtId="171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4" fontId="20" fillId="0" borderId="0" applyFont="0" applyFill="0" applyBorder="0" applyAlignment="0" applyProtection="0"/>
    <xf numFmtId="174" fontId="20" fillId="0" borderId="0" applyFont="0" applyFill="0" applyBorder="0" applyAlignment="0" applyProtection="0"/>
    <xf numFmtId="175" fontId="25" fillId="0" borderId="65" applyBorder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6" fillId="0" borderId="0"/>
    <xf numFmtId="0" fontId="27" fillId="0" borderId="0" applyProtection="0"/>
    <xf numFmtId="179" fontId="28" fillId="0" borderId="1">
      <alignment horizontal="center"/>
      <protection locked="0"/>
    </xf>
    <xf numFmtId="179" fontId="26" fillId="0" borderId="0"/>
    <xf numFmtId="2" fontId="27" fillId="0" borderId="0" applyProtection="0"/>
    <xf numFmtId="38" fontId="20" fillId="20" borderId="0" applyNumberFormat="0" applyBorder="0" applyAlignment="0" applyProtection="0"/>
    <xf numFmtId="38" fontId="20" fillId="20" borderId="0" applyNumberFormat="0" applyBorder="0" applyAlignment="0" applyProtection="0"/>
    <xf numFmtId="0" fontId="29" fillId="21" borderId="66"/>
    <xf numFmtId="0" fontId="30" fillId="0" borderId="55" applyNumberFormat="0" applyAlignment="0" applyProtection="0">
      <alignment horizontal="left" vertical="center"/>
    </xf>
    <xf numFmtId="0" fontId="30" fillId="0" borderId="7">
      <alignment horizontal="left" vertical="center"/>
    </xf>
    <xf numFmtId="0" fontId="31" fillId="22" borderId="18">
      <alignment vertical="center" wrapText="1"/>
    </xf>
    <xf numFmtId="0" fontId="32" fillId="0" borderId="0" applyProtection="0"/>
    <xf numFmtId="0" fontId="30" fillId="0" borderId="0" applyProtection="0"/>
    <xf numFmtId="0" fontId="30" fillId="0" borderId="0" applyProtection="0"/>
    <xf numFmtId="0" fontId="20" fillId="20" borderId="0" applyNumberFormat="0" applyAlignment="0"/>
    <xf numFmtId="0" fontId="20" fillId="20" borderId="0" applyNumberFormat="0" applyAlignment="0"/>
    <xf numFmtId="10" fontId="20" fillId="23" borderId="1" applyNumberFormat="0" applyBorder="0" applyAlignment="0" applyProtection="0"/>
    <xf numFmtId="10" fontId="20" fillId="23" borderId="1" applyNumberFormat="0" applyBorder="0" applyAlignment="0" applyProtection="0"/>
    <xf numFmtId="0" fontId="33" fillId="24" borderId="0" applyNumberFormat="0" applyFont="0" applyBorder="0" applyAlignment="0">
      <protection locked="0"/>
    </xf>
    <xf numFmtId="37" fontId="34" fillId="0" borderId="0"/>
    <xf numFmtId="180" fontId="35" fillId="0" borderId="0"/>
    <xf numFmtId="181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6" fillId="0" borderId="0"/>
    <xf numFmtId="0" fontId="20" fillId="23" borderId="0" applyNumberFormat="0" applyFont="0" applyBorder="0" applyAlignment="0"/>
    <xf numFmtId="0" fontId="20" fillId="23" borderId="0" applyNumberFormat="0" applyFont="0" applyBorder="0" applyAlignment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" fontId="36" fillId="0" borderId="0" applyNumberFormat="0" applyFill="0" applyBorder="0" applyAlignment="0" applyProtection="0"/>
    <xf numFmtId="0" fontId="22" fillId="25" borderId="0" applyNumberFormat="0" applyFont="0" applyBorder="0" applyAlignment="0"/>
    <xf numFmtId="0" fontId="22" fillId="0" borderId="0">
      <alignment vertical="justify"/>
    </xf>
    <xf numFmtId="0" fontId="22" fillId="0" borderId="0">
      <alignment vertical="justify"/>
    </xf>
    <xf numFmtId="1" fontId="22" fillId="0" borderId="67" applyNumberFormat="0" applyFill="0" applyAlignment="0" applyProtection="0">
      <alignment horizontal="center" vertical="center"/>
    </xf>
    <xf numFmtId="1" fontId="22" fillId="0" borderId="67" applyNumberFormat="0" applyFill="0" applyAlignment="0" applyProtection="0">
      <alignment horizontal="center" vertical="center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4" fontId="37" fillId="26" borderId="68" applyNumberFormat="0" applyProtection="0">
      <alignment horizontal="right" vertical="center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0" fontId="22" fillId="18" borderId="68" applyNumberFormat="0" applyProtection="0">
      <alignment horizontal="left" vertical="center" indent="1"/>
    </xf>
    <xf numFmtId="182" fontId="20" fillId="0" borderId="0"/>
    <xf numFmtId="182" fontId="20" fillId="0" borderId="0"/>
    <xf numFmtId="0" fontId="24" fillId="0" borderId="69" applyAlignment="0">
      <alignment horizontal="centerContinuous"/>
    </xf>
    <xf numFmtId="0" fontId="24" fillId="0" borderId="69" applyAlignment="0">
      <alignment horizontal="centerContinuous"/>
    </xf>
    <xf numFmtId="3" fontId="22" fillId="0" borderId="1" applyNumberFormat="0" applyFont="0" applyFill="0" applyAlignment="0" applyProtection="0">
      <alignment vertical="center"/>
    </xf>
    <xf numFmtId="0" fontId="38" fillId="0" borderId="0"/>
    <xf numFmtId="0" fontId="27" fillId="0" borderId="70" applyProtection="0"/>
    <xf numFmtId="4" fontId="22" fillId="0" borderId="71" applyNumberFormat="0" applyFont="0" applyFill="0" applyAlignment="0" applyProtection="0">
      <alignment vertical="center"/>
    </xf>
    <xf numFmtId="0" fontId="39" fillId="0" borderId="72"/>
    <xf numFmtId="40" fontId="26" fillId="0" borderId="0" applyFont="0" applyFill="0" applyBorder="0" applyAlignment="0" applyProtection="0"/>
    <xf numFmtId="8" fontId="21" fillId="0" borderId="0" applyFont="0" applyFill="0" applyBorder="0" applyAlignment="0" applyProtection="0"/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40" fillId="0" borderId="73"/>
    <xf numFmtId="0" fontId="41" fillId="0" borderId="0" applyNumberFormat="0" applyFill="0" applyBorder="0" applyAlignment="0" applyProtection="0">
      <alignment vertical="top"/>
      <protection locked="0"/>
    </xf>
    <xf numFmtId="9" fontId="42" fillId="0" borderId="0" applyFont="0" applyFill="0" applyBorder="0" applyAlignment="0" applyProtection="0"/>
    <xf numFmtId="6" fontId="22" fillId="0" borderId="0" applyFont="0" applyFill="0" applyBorder="0" applyAlignment="0" applyProtection="0"/>
    <xf numFmtId="8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7" fontId="22" fillId="0" borderId="0" applyFont="0" applyFill="0" applyBorder="0" applyAlignment="0" applyProtection="0"/>
    <xf numFmtId="0" fontId="42" fillId="0" borderId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183" fontId="43" fillId="0" borderId="0" applyFont="0" applyFill="0" applyBorder="0" applyAlignment="0" applyProtection="0"/>
    <xf numFmtId="184" fontId="43" fillId="0" borderId="0" applyFont="0" applyFill="0" applyBorder="0" applyAlignment="0" applyProtection="0"/>
    <xf numFmtId="0" fontId="44" fillId="0" borderId="0"/>
    <xf numFmtId="185" fontId="45" fillId="0" borderId="0" applyFont="0" applyFill="0" applyBorder="0" applyAlignment="0" applyProtection="0"/>
    <xf numFmtId="186" fontId="45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0" fillId="0" borderId="0"/>
    <xf numFmtId="0" fontId="47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0" borderId="0" applyNumberFormat="0" applyBorder="0" applyAlignment="0" applyProtection="0"/>
    <xf numFmtId="0" fontId="47" fillId="33" borderId="0" applyNumberFormat="0" applyBorder="0" applyAlignment="0" applyProtection="0"/>
    <xf numFmtId="0" fontId="47" fillId="36" borderId="0" applyNumberFormat="0" applyBorder="0" applyAlignment="0" applyProtection="0"/>
    <xf numFmtId="0" fontId="48" fillId="37" borderId="0" applyNumberFormat="0" applyBorder="0" applyAlignment="0" applyProtection="0"/>
    <xf numFmtId="0" fontId="48" fillId="34" borderId="0" applyNumberFormat="0" applyBorder="0" applyAlignment="0" applyProtection="0"/>
    <xf numFmtId="0" fontId="48" fillId="35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37" fontId="40" fillId="0" borderId="74"/>
    <xf numFmtId="0" fontId="49" fillId="0" borderId="0"/>
    <xf numFmtId="0" fontId="49" fillId="0" borderId="0"/>
    <xf numFmtId="187" fontId="46" fillId="0" borderId="0" applyFont="0" applyFill="0" applyBorder="0" applyAlignment="0" applyProtection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6" fontId="26" fillId="0" borderId="0" applyFont="0" applyFill="0" applyBorder="0" applyAlignment="0" applyProtection="0"/>
    <xf numFmtId="8" fontId="26" fillId="0" borderId="0" applyFont="0" applyFill="0" applyBorder="0" applyAlignment="0" applyProtection="0"/>
    <xf numFmtId="0" fontId="49" fillId="0" borderId="0"/>
    <xf numFmtId="9" fontId="26" fillId="0" borderId="32" applyNumberFormat="0" applyBorder="0"/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0" fontId="22" fillId="0" borderId="0">
      <alignment vertical="justify"/>
    </xf>
    <xf numFmtId="4" fontId="37" fillId="22" borderId="68" applyNumberFormat="0" applyProtection="0">
      <alignment horizontal="left" vertical="center" indent="1"/>
    </xf>
    <xf numFmtId="6" fontId="26" fillId="0" borderId="0" applyFont="0" applyFill="0" applyBorder="0" applyAlignment="0" applyProtection="0"/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22" fillId="0" borderId="0">
      <alignment horizontal="centerContinuous" vertical="center"/>
    </xf>
    <xf numFmtId="0" fontId="50" fillId="41" borderId="75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6" fontId="46" fillId="0" borderId="0" applyFont="0" applyFill="0" applyBorder="0" applyAlignment="0" applyProtection="0"/>
    <xf numFmtId="167" fontId="46" fillId="0" borderId="0" applyFont="0" applyFill="0" applyBorder="0" applyAlignment="0" applyProtection="0"/>
    <xf numFmtId="42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42" borderId="76" applyNumberFormat="0" applyAlignment="0" applyProtection="0"/>
    <xf numFmtId="0" fontId="56" fillId="0" borderId="77" applyNumberFormat="0" applyFill="0" applyAlignment="0" applyProtection="0"/>
    <xf numFmtId="0" fontId="57" fillId="29" borderId="0" applyNumberFormat="0" applyBorder="0" applyAlignment="0" applyProtection="0"/>
    <xf numFmtId="0" fontId="18" fillId="0" borderId="0"/>
    <xf numFmtId="0" fontId="58" fillId="32" borderId="75" applyNumberFormat="0" applyAlignment="0" applyProtection="0"/>
    <xf numFmtId="0" fontId="59" fillId="43" borderId="0" applyNumberFormat="0" applyBorder="0" applyAlignment="0" applyProtection="0"/>
    <xf numFmtId="0" fontId="60" fillId="0" borderId="78" applyNumberFormat="0" applyFill="0" applyAlignment="0" applyProtection="0"/>
    <xf numFmtId="0" fontId="61" fillId="28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6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7" borderId="0" applyNumberFormat="0" applyBorder="0" applyAlignment="0" applyProtection="0"/>
    <xf numFmtId="0" fontId="62" fillId="41" borderId="68" applyNumberFormat="0" applyAlignment="0" applyProtection="0"/>
    <xf numFmtId="0" fontId="18" fillId="48" borderId="79" applyNumberFormat="0" applyFont="0" applyAlignment="0" applyProtection="0"/>
    <xf numFmtId="0" fontId="63" fillId="0" borderId="80" applyNumberFormat="0" applyFill="0" applyAlignment="0" applyProtection="0"/>
    <xf numFmtId="0" fontId="64" fillId="0" borderId="81" applyNumberFormat="0" applyFill="0" applyAlignment="0" applyProtection="0"/>
    <xf numFmtId="0" fontId="65" fillId="0" borderId="82" applyNumberFormat="0" applyFill="0" applyAlignment="0" applyProtection="0"/>
    <xf numFmtId="0" fontId="65" fillId="0" borderId="0" applyNumberFormat="0" applyFill="0" applyBorder="0" applyAlignment="0" applyProtection="0"/>
    <xf numFmtId="0" fontId="19" fillId="0" borderId="0"/>
    <xf numFmtId="0" fontId="18" fillId="0" borderId="0" applyFont="0" applyFill="0" applyBorder="0" applyAlignment="0" applyProtection="0"/>
    <xf numFmtId="0" fontId="6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7" fillId="0" borderId="55" applyNumberFormat="0" applyAlignment="0" applyProtection="0">
      <alignment horizontal="left" vertical="center"/>
    </xf>
    <xf numFmtId="0" fontId="67" fillId="0" borderId="7">
      <alignment horizontal="left" vertical="center"/>
    </xf>
    <xf numFmtId="180" fontId="68" fillId="0" borderId="0"/>
    <xf numFmtId="0" fontId="22" fillId="0" borderId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0" borderId="0"/>
    <xf numFmtId="0" fontId="7" fillId="0" borderId="0"/>
    <xf numFmtId="167" fontId="7" fillId="0" borderId="0" applyFont="0" applyFill="0" applyBorder="0" applyAlignment="0" applyProtection="0"/>
    <xf numFmtId="169" fontId="22" fillId="0" borderId="0"/>
    <xf numFmtId="9" fontId="7" fillId="0" borderId="0" applyFont="0" applyFill="0" applyBorder="0" applyAlignment="0" applyProtection="0"/>
    <xf numFmtId="169" fontId="22" fillId="0" borderId="0"/>
    <xf numFmtId="169" fontId="22" fillId="0" borderId="0"/>
    <xf numFmtId="169" fontId="22" fillId="0" borderId="0"/>
    <xf numFmtId="169" fontId="22" fillId="0" borderId="0"/>
    <xf numFmtId="169" fontId="22" fillId="0" borderId="0"/>
    <xf numFmtId="169" fontId="22" fillId="0" borderId="0"/>
    <xf numFmtId="169" fontId="22" fillId="0" borderId="0"/>
    <xf numFmtId="167" fontId="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2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167" fontId="20" fillId="0" borderId="0" applyFont="0" applyFill="0" applyBorder="0" applyAlignment="0" applyProtection="0"/>
    <xf numFmtId="0" fontId="20" fillId="0" borderId="0"/>
    <xf numFmtId="0" fontId="69" fillId="0" borderId="0">
      <alignment vertical="center"/>
    </xf>
    <xf numFmtId="38" fontId="44" fillId="0" borderId="0" applyFont="0" applyFill="0" applyBorder="0" applyAlignment="0" applyProtection="0">
      <alignment vertical="center"/>
    </xf>
    <xf numFmtId="0" fontId="1" fillId="0" borderId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</cellStyleXfs>
  <cellXfs count="2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0" borderId="0" xfId="0" applyNumberFormat="1"/>
    <xf numFmtId="0" fontId="0" fillId="5" borderId="0" xfId="0" applyFill="1"/>
    <xf numFmtId="0" fontId="10" fillId="0" borderId="34" xfId="0" applyFont="1" applyBorder="1" applyAlignment="1">
      <alignment horizontal="left" wrapText="1" readingOrder="1"/>
    </xf>
    <xf numFmtId="0" fontId="10" fillId="0" borderId="36" xfId="0" applyFont="1" applyBorder="1" applyAlignment="1">
      <alignment horizontal="left" wrapText="1" readingOrder="1"/>
    </xf>
    <xf numFmtId="0" fontId="9" fillId="2" borderId="37" xfId="0" applyFont="1" applyFill="1" applyBorder="1" applyAlignment="1">
      <alignment horizontal="center" vertical="top" wrapText="1" readingOrder="1"/>
    </xf>
    <xf numFmtId="0" fontId="9" fillId="2" borderId="22" xfId="0" applyFont="1" applyFill="1" applyBorder="1" applyAlignment="1">
      <alignment horizontal="center" vertical="top" wrapText="1" readingOrder="1"/>
    </xf>
    <xf numFmtId="0" fontId="9" fillId="2" borderId="38" xfId="0" applyFont="1" applyFill="1" applyBorder="1" applyAlignment="1">
      <alignment horizontal="center" vertical="top" wrapText="1" readingOrder="1"/>
    </xf>
    <xf numFmtId="0" fontId="9" fillId="2" borderId="15" xfId="0" applyFont="1" applyFill="1" applyBorder="1" applyAlignment="1">
      <alignment horizontal="center" vertical="top" wrapText="1" readingOrder="1"/>
    </xf>
    <xf numFmtId="17" fontId="9" fillId="2" borderId="16" xfId="0" applyNumberFormat="1" applyFont="1" applyFill="1" applyBorder="1" applyAlignment="1">
      <alignment horizontal="center" wrapText="1" readingOrder="1"/>
    </xf>
    <xf numFmtId="17" fontId="9" fillId="2" borderId="17" xfId="0" applyNumberFormat="1" applyFont="1" applyFill="1" applyBorder="1" applyAlignment="1">
      <alignment horizontal="center" wrapText="1" readingOrder="1"/>
    </xf>
    <xf numFmtId="0" fontId="10" fillId="12" borderId="41" xfId="0" applyFont="1" applyFill="1" applyBorder="1" applyAlignment="1">
      <alignment horizontal="center" vertical="center" wrapText="1" readingOrder="1"/>
    </xf>
    <xf numFmtId="0" fontId="8" fillId="12" borderId="44" xfId="0" applyFont="1" applyFill="1" applyBorder="1" applyAlignment="1">
      <alignment horizontal="left" vertical="center" wrapText="1" readingOrder="1"/>
    </xf>
    <xf numFmtId="0" fontId="10" fillId="12" borderId="39" xfId="0" applyFont="1" applyFill="1" applyBorder="1" applyAlignment="1">
      <alignment horizontal="center" vertical="center" wrapText="1" readingOrder="1"/>
    </xf>
    <xf numFmtId="0" fontId="8" fillId="12" borderId="55" xfId="0" applyFont="1" applyFill="1" applyBorder="1" applyAlignment="1">
      <alignment horizontal="center" vertical="center" wrapText="1" readingOrder="1"/>
    </xf>
    <xf numFmtId="0" fontId="8" fillId="12" borderId="11" xfId="0" applyFont="1" applyFill="1" applyBorder="1" applyAlignment="1">
      <alignment horizontal="left" vertical="center" wrapText="1" readingOrder="1"/>
    </xf>
    <xf numFmtId="0" fontId="10" fillId="12" borderId="40" xfId="0" applyFont="1" applyFill="1" applyBorder="1" applyAlignment="1">
      <alignment horizontal="center" vertical="center" wrapText="1" readingOrder="1"/>
    </xf>
    <xf numFmtId="0" fontId="8" fillId="12" borderId="32" xfId="0" applyFont="1" applyFill="1" applyBorder="1" applyAlignment="1">
      <alignment horizontal="center" vertical="center" wrapText="1" readingOrder="1"/>
    </xf>
    <xf numFmtId="0" fontId="8" fillId="12" borderId="42" xfId="0" applyFont="1" applyFill="1" applyBorder="1" applyAlignment="1">
      <alignment horizontal="left" vertical="center" wrapText="1" readingOrder="1"/>
    </xf>
    <xf numFmtId="0" fontId="10" fillId="12" borderId="37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left" vertical="center" wrapText="1" readingOrder="1"/>
    </xf>
    <xf numFmtId="0" fontId="3" fillId="0" borderId="21" xfId="0" applyFont="1" applyBorder="1" applyAlignment="1">
      <alignment horizontal="left" vertical="center" wrapText="1" readingOrder="1"/>
    </xf>
    <xf numFmtId="0" fontId="3" fillId="0" borderId="48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10" fillId="0" borderId="35" xfId="0" applyFont="1" applyBorder="1" applyAlignment="1">
      <alignment horizontal="left" wrapText="1" readingOrder="1"/>
    </xf>
    <xf numFmtId="0" fontId="8" fillId="0" borderId="42" xfId="0" applyFont="1" applyBorder="1" applyAlignment="1">
      <alignment horizontal="center" vertical="center" wrapText="1" readingOrder="1"/>
    </xf>
    <xf numFmtId="0" fontId="8" fillId="0" borderId="44" xfId="0" applyFont="1" applyBorder="1" applyAlignment="1">
      <alignment horizontal="center" vertical="center" wrapText="1" readingOrder="1"/>
    </xf>
    <xf numFmtId="0" fontId="14" fillId="0" borderId="0" xfId="0" applyFont="1"/>
    <xf numFmtId="0" fontId="9" fillId="0" borderId="56" xfId="0" applyFont="1" applyBorder="1" applyAlignment="1">
      <alignment horizontal="left" vertical="center" wrapText="1" readingOrder="1"/>
    </xf>
    <xf numFmtId="0" fontId="9" fillId="0" borderId="57" xfId="0" applyFont="1" applyBorder="1" applyAlignment="1">
      <alignment horizontal="left" vertical="center" wrapText="1" readingOrder="1"/>
    </xf>
    <xf numFmtId="164" fontId="8" fillId="5" borderId="1" xfId="1" applyNumberFormat="1" applyFont="1" applyFill="1" applyBorder="1" applyAlignment="1">
      <alignment horizontal="center" wrapText="1" readingOrder="1"/>
    </xf>
    <xf numFmtId="164" fontId="10" fillId="12" borderId="30" xfId="1" applyNumberFormat="1" applyFont="1" applyFill="1" applyBorder="1" applyAlignment="1">
      <alignment horizontal="center" wrapText="1" readingOrder="1"/>
    </xf>
    <xf numFmtId="164" fontId="8" fillId="4" borderId="21" xfId="1" applyNumberFormat="1" applyFont="1" applyFill="1" applyBorder="1" applyAlignment="1">
      <alignment horizontal="center" wrapText="1" readingOrder="1"/>
    </xf>
    <xf numFmtId="164" fontId="8" fillId="3" borderId="2" xfId="1" applyNumberFormat="1" applyFont="1" applyFill="1" applyBorder="1" applyAlignment="1">
      <alignment horizontal="center" wrapText="1" readingOrder="1"/>
    </xf>
    <xf numFmtId="164" fontId="8" fillId="4" borderId="2" xfId="1" applyNumberFormat="1" applyFont="1" applyFill="1" applyBorder="1" applyAlignment="1">
      <alignment horizontal="center" wrapText="1" readingOrder="1"/>
    </xf>
    <xf numFmtId="164" fontId="8" fillId="3" borderId="16" xfId="1" applyNumberFormat="1" applyFont="1" applyFill="1" applyBorder="1" applyAlignment="1">
      <alignment horizontal="center" vertical="top" wrapText="1" readingOrder="1"/>
    </xf>
    <xf numFmtId="164" fontId="8" fillId="12" borderId="18" xfId="1" applyNumberFormat="1" applyFont="1" applyFill="1" applyBorder="1" applyAlignment="1">
      <alignment horizontal="center" wrapText="1" readingOrder="1"/>
    </xf>
    <xf numFmtId="164" fontId="13" fillId="5" borderId="23" xfId="1" applyNumberFormat="1" applyFont="1" applyFill="1" applyBorder="1" applyAlignment="1">
      <alignment horizontal="center"/>
    </xf>
    <xf numFmtId="164" fontId="8" fillId="3" borderId="1" xfId="1" applyNumberFormat="1" applyFont="1" applyFill="1" applyBorder="1" applyAlignment="1">
      <alignment horizontal="center" vertical="top" wrapText="1" readingOrder="1"/>
    </xf>
    <xf numFmtId="164" fontId="8" fillId="5" borderId="1" xfId="1" applyNumberFormat="1" applyFont="1" applyFill="1" applyBorder="1" applyAlignment="1">
      <alignment horizontal="center" vertical="top" wrapText="1" readingOrder="1"/>
    </xf>
    <xf numFmtId="164" fontId="13" fillId="5" borderId="1" xfId="1" applyNumberFormat="1" applyFont="1" applyFill="1" applyBorder="1" applyAlignment="1">
      <alignment horizontal="center"/>
    </xf>
    <xf numFmtId="164" fontId="8" fillId="4" borderId="1" xfId="1" applyNumberFormat="1" applyFont="1" applyFill="1" applyBorder="1" applyAlignment="1">
      <alignment horizontal="center" wrapText="1" readingOrder="1"/>
    </xf>
    <xf numFmtId="164" fontId="8" fillId="3" borderId="9" xfId="1" applyNumberFormat="1" applyFont="1" applyFill="1" applyBorder="1" applyAlignment="1">
      <alignment horizontal="center" vertical="top" wrapText="1" readingOrder="1"/>
    </xf>
    <xf numFmtId="164" fontId="8" fillId="12" borderId="20" xfId="1" applyNumberFormat="1" applyFont="1" applyFill="1" applyBorder="1" applyAlignment="1">
      <alignment horizontal="center" wrapText="1" readingOrder="1"/>
    </xf>
    <xf numFmtId="164" fontId="8" fillId="3" borderId="1" xfId="1" applyNumberFormat="1" applyFont="1" applyFill="1" applyBorder="1" applyAlignment="1">
      <alignment horizontal="center" wrapText="1" readingOrder="1"/>
    </xf>
    <xf numFmtId="164" fontId="8" fillId="4" borderId="1" xfId="1" applyNumberFormat="1" applyFont="1" applyFill="1" applyBorder="1" applyAlignment="1">
      <alignment horizontal="center" vertical="top" wrapText="1" readingOrder="1"/>
    </xf>
    <xf numFmtId="164" fontId="8" fillId="3" borderId="27" xfId="1" applyNumberFormat="1" applyFont="1" applyFill="1" applyBorder="1" applyAlignment="1">
      <alignment horizontal="center" wrapText="1" readingOrder="1"/>
    </xf>
    <xf numFmtId="164" fontId="8" fillId="13" borderId="32" xfId="1" applyNumberFormat="1" applyFont="1" applyFill="1" applyBorder="1" applyAlignment="1">
      <alignment horizontal="center" wrapText="1" readingOrder="1"/>
    </xf>
    <xf numFmtId="164" fontId="13" fillId="5" borderId="12" xfId="1" applyNumberFormat="1" applyFont="1" applyFill="1" applyBorder="1" applyAlignment="1">
      <alignment horizontal="center"/>
    </xf>
    <xf numFmtId="164" fontId="13" fillId="5" borderId="13" xfId="1" applyNumberFormat="1" applyFont="1" applyFill="1" applyBorder="1" applyAlignment="1">
      <alignment horizontal="center"/>
    </xf>
    <xf numFmtId="164" fontId="8" fillId="13" borderId="1" xfId="1" applyNumberFormat="1" applyFont="1" applyFill="1" applyBorder="1" applyAlignment="1">
      <alignment horizontal="center" wrapText="1" readingOrder="1"/>
    </xf>
    <xf numFmtId="164" fontId="8" fillId="13" borderId="6" xfId="1" applyNumberFormat="1" applyFont="1" applyFill="1" applyBorder="1" applyAlignment="1">
      <alignment horizontal="center" wrapText="1" readingOrder="1"/>
    </xf>
    <xf numFmtId="164" fontId="13" fillId="5" borderId="6" xfId="1" applyNumberFormat="1" applyFont="1" applyFill="1" applyBorder="1" applyAlignment="1">
      <alignment horizontal="center"/>
    </xf>
    <xf numFmtId="164" fontId="13" fillId="5" borderId="33" xfId="1" applyNumberFormat="1" applyFont="1" applyFill="1" applyBorder="1" applyAlignment="1">
      <alignment horizontal="center"/>
    </xf>
    <xf numFmtId="164" fontId="8" fillId="13" borderId="20" xfId="1" applyNumberFormat="1" applyFont="1" applyFill="1" applyBorder="1" applyAlignment="1">
      <alignment horizontal="center" wrapText="1" readingOrder="1"/>
    </xf>
    <xf numFmtId="1" fontId="8" fillId="0" borderId="21" xfId="0" applyNumberFormat="1" applyFont="1" applyBorder="1" applyAlignment="1">
      <alignment horizontal="center" wrapText="1" readingOrder="1"/>
    </xf>
    <xf numFmtId="1" fontId="8" fillId="13" borderId="52" xfId="0" applyNumberFormat="1" applyFont="1" applyFill="1" applyBorder="1" applyAlignment="1">
      <alignment horizontal="center" wrapText="1" readingOrder="1"/>
    </xf>
    <xf numFmtId="1" fontId="8" fillId="0" borderId="16" xfId="0" applyNumberFormat="1" applyFont="1" applyBorder="1" applyAlignment="1">
      <alignment horizontal="center" wrapText="1" readingOrder="1"/>
    </xf>
    <xf numFmtId="1" fontId="8" fillId="13" borderId="26" xfId="0" applyNumberFormat="1" applyFont="1" applyFill="1" applyBorder="1" applyAlignment="1">
      <alignment horizontal="center" wrapText="1" readingOrder="1"/>
    </xf>
    <xf numFmtId="164" fontId="8" fillId="3" borderId="1" xfId="1" applyNumberFormat="1" applyFont="1" applyFill="1" applyBorder="1" applyAlignment="1">
      <alignment horizontal="center" readingOrder="1"/>
    </xf>
    <xf numFmtId="164" fontId="8" fillId="3" borderId="1" xfId="1" applyNumberFormat="1" applyFont="1" applyFill="1" applyBorder="1" applyAlignment="1">
      <alignment vertical="center" readingOrder="1"/>
    </xf>
    <xf numFmtId="164" fontId="8" fillId="3" borderId="25" xfId="1" applyNumberFormat="1" applyFont="1" applyFill="1" applyBorder="1" applyAlignment="1">
      <alignment vertical="center" readingOrder="1"/>
    </xf>
    <xf numFmtId="164" fontId="8" fillId="3" borderId="27" xfId="1" applyNumberFormat="1" applyFont="1" applyFill="1" applyBorder="1" applyAlignment="1">
      <alignment vertical="center" readingOrder="1"/>
    </xf>
    <xf numFmtId="164" fontId="8" fillId="3" borderId="28" xfId="1" applyNumberFormat="1" applyFont="1" applyFill="1" applyBorder="1" applyAlignment="1">
      <alignment vertical="center" readingOrder="1"/>
    </xf>
    <xf numFmtId="164" fontId="8" fillId="5" borderId="2" xfId="1" applyNumberFormat="1" applyFont="1" applyFill="1" applyBorder="1" applyAlignment="1">
      <alignment horizontal="center" vertical="center" readingOrder="1"/>
    </xf>
    <xf numFmtId="164" fontId="8" fillId="5" borderId="14" xfId="1" applyNumberFormat="1" applyFont="1" applyFill="1" applyBorder="1" applyAlignment="1">
      <alignment horizontal="center" vertical="center" readingOrder="1"/>
    </xf>
    <xf numFmtId="164" fontId="8" fillId="5" borderId="1" xfId="1" applyNumberFormat="1" applyFont="1" applyFill="1" applyBorder="1" applyAlignment="1">
      <alignment horizontal="center" vertical="center" readingOrder="1"/>
    </xf>
    <xf numFmtId="164" fontId="8" fillId="3" borderId="9" xfId="1" applyNumberFormat="1" applyFont="1" applyFill="1" applyBorder="1" applyAlignment="1">
      <alignment vertical="center" readingOrder="1"/>
    </xf>
    <xf numFmtId="164" fontId="8" fillId="3" borderId="46" xfId="1" applyNumberFormat="1" applyFont="1" applyFill="1" applyBorder="1" applyAlignment="1">
      <alignment vertical="center" readingOrder="1"/>
    </xf>
    <xf numFmtId="164" fontId="8" fillId="12" borderId="20" xfId="1" applyNumberFormat="1" applyFont="1" applyFill="1" applyBorder="1" applyAlignment="1">
      <alignment horizontal="center" readingOrder="1"/>
    </xf>
    <xf numFmtId="164" fontId="8" fillId="12" borderId="29" xfId="1" applyNumberFormat="1" applyFont="1" applyFill="1" applyBorder="1" applyAlignment="1">
      <alignment horizontal="center" readingOrder="1"/>
    </xf>
    <xf numFmtId="1" fontId="8" fillId="0" borderId="12" xfId="0" applyNumberFormat="1" applyFont="1" applyBorder="1" applyAlignment="1">
      <alignment horizontal="center" readingOrder="1"/>
    </xf>
    <xf numFmtId="1" fontId="8" fillId="0" borderId="13" xfId="0" applyNumberFormat="1" applyFont="1" applyBorder="1" applyAlignment="1">
      <alignment horizontal="center" readingOrder="1"/>
    </xf>
    <xf numFmtId="1" fontId="8" fillId="0" borderId="27" xfId="0" applyNumberFormat="1" applyFont="1" applyBorder="1" applyAlignment="1">
      <alignment horizontal="center" readingOrder="1"/>
    </xf>
    <xf numFmtId="1" fontId="8" fillId="0" borderId="28" xfId="0" applyNumberFormat="1" applyFont="1" applyBorder="1" applyAlignment="1">
      <alignment horizontal="center" readingOrder="1"/>
    </xf>
    <xf numFmtId="0" fontId="11" fillId="0" borderId="8" xfId="0" applyFont="1" applyBorder="1" applyAlignment="1">
      <alignment horizontal="center" vertical="center" wrapText="1" readingOrder="1"/>
    </xf>
    <xf numFmtId="0" fontId="11" fillId="0" borderId="49" xfId="0" applyFont="1" applyBorder="1" applyAlignment="1">
      <alignment horizontal="center" vertical="center" wrapText="1" readingOrder="1"/>
    </xf>
    <xf numFmtId="0" fontId="11" fillId="0" borderId="48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47" xfId="0" applyFont="1" applyBorder="1" applyAlignment="1">
      <alignment horizontal="center" vertical="center" wrapText="1" readingOrder="1"/>
    </xf>
    <xf numFmtId="0" fontId="11" fillId="0" borderId="37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wrapText="1" readingOrder="1"/>
    </xf>
    <xf numFmtId="164" fontId="8" fillId="16" borderId="1" xfId="1" applyNumberFormat="1" applyFont="1" applyFill="1" applyBorder="1" applyAlignment="1">
      <alignment horizontal="center" readingOrder="1"/>
    </xf>
    <xf numFmtId="164" fontId="8" fillId="16" borderId="2" xfId="1" applyNumberFormat="1" applyFont="1" applyFill="1" applyBorder="1" applyAlignment="1">
      <alignment horizontal="center" wrapText="1" readingOrder="1"/>
    </xf>
    <xf numFmtId="0" fontId="9" fillId="0" borderId="35" xfId="0" applyFont="1" applyBorder="1" applyAlignment="1">
      <alignment horizontal="center" vertical="center" wrapText="1" readingOrder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4" fontId="8" fillId="12" borderId="59" xfId="1" applyNumberFormat="1" applyFont="1" applyFill="1" applyBorder="1" applyAlignment="1">
      <alignment horizontal="center" wrapText="1" readingOrder="1"/>
    </xf>
    <xf numFmtId="164" fontId="8" fillId="4" borderId="60" xfId="1" applyNumberFormat="1" applyFont="1" applyFill="1" applyBorder="1" applyAlignment="1">
      <alignment horizontal="center" wrapText="1" readingOrder="1"/>
    </xf>
    <xf numFmtId="164" fontId="8" fillId="12" borderId="61" xfId="1" applyNumberFormat="1" applyFont="1" applyFill="1" applyBorder="1" applyAlignment="1">
      <alignment horizontal="center" wrapText="1" readingOrder="1"/>
    </xf>
    <xf numFmtId="164" fontId="8" fillId="3" borderId="62" xfId="1" applyNumberFormat="1" applyFont="1" applyFill="1" applyBorder="1" applyAlignment="1">
      <alignment horizontal="center" wrapText="1" readingOrder="1"/>
    </xf>
    <xf numFmtId="0" fontId="11" fillId="0" borderId="63" xfId="0" applyFont="1" applyBorder="1" applyAlignment="1">
      <alignment horizontal="center" vertical="center" wrapText="1" readingOrder="1"/>
    </xf>
    <xf numFmtId="164" fontId="8" fillId="4" borderId="12" xfId="1" applyNumberFormat="1" applyFont="1" applyFill="1" applyBorder="1" applyAlignment="1">
      <alignment horizontal="center" wrapText="1" readingOrder="1"/>
    </xf>
    <xf numFmtId="0" fontId="11" fillId="0" borderId="41" xfId="0" applyFont="1" applyBorder="1" applyAlignment="1">
      <alignment horizontal="center" vertical="center" wrapText="1" readingOrder="1"/>
    </xf>
    <xf numFmtId="164" fontId="8" fillId="3" borderId="41" xfId="1" applyNumberFormat="1" applyFont="1" applyFill="1" applyBorder="1" applyAlignment="1">
      <alignment horizontal="center" wrapText="1" readingOrder="1"/>
    </xf>
    <xf numFmtId="164" fontId="8" fillId="13" borderId="41" xfId="1" applyNumberFormat="1" applyFont="1" applyFill="1" applyBorder="1" applyAlignment="1">
      <alignment horizontal="center" wrapText="1" readingOrder="1"/>
    </xf>
    <xf numFmtId="164" fontId="8" fillId="3" borderId="30" xfId="1" applyNumberFormat="1" applyFont="1" applyFill="1" applyBorder="1" applyAlignment="1">
      <alignment horizontal="center" wrapText="1" readingOrder="1"/>
    </xf>
    <xf numFmtId="164" fontId="8" fillId="3" borderId="30" xfId="1" applyNumberFormat="1" applyFont="1" applyFill="1" applyBorder="1" applyAlignment="1">
      <alignment horizontal="center" readingOrder="1"/>
    </xf>
    <xf numFmtId="164" fontId="8" fillId="3" borderId="31" xfId="1" applyNumberFormat="1" applyFont="1" applyFill="1" applyBorder="1" applyAlignment="1">
      <alignment horizontal="center" readingOrder="1"/>
    </xf>
    <xf numFmtId="0" fontId="0" fillId="0" borderId="1" xfId="0" applyBorder="1" applyAlignment="1">
      <alignment horizontal="center"/>
    </xf>
    <xf numFmtId="164" fontId="8" fillId="17" borderId="1" xfId="1" applyNumberFormat="1" applyFont="1" applyFill="1" applyBorder="1" applyAlignment="1">
      <alignment horizontal="center" vertical="center" wrapText="1" readingOrder="1"/>
    </xf>
    <xf numFmtId="164" fontId="8" fillId="13" borderId="1" xfId="1" applyNumberFormat="1" applyFont="1" applyFill="1" applyBorder="1" applyAlignment="1">
      <alignment horizontal="center" vertical="center" wrapText="1" readingOrder="1"/>
    </xf>
    <xf numFmtId="164" fontId="8" fillId="4" borderId="2" xfId="1" applyNumberFormat="1" applyFont="1" applyFill="1" applyBorder="1" applyAlignment="1">
      <alignment horizontal="center" vertical="center" wrapText="1" readingOrder="1"/>
    </xf>
    <xf numFmtId="164" fontId="8" fillId="16" borderId="1" xfId="1" applyNumberFormat="1" applyFont="1" applyFill="1" applyBorder="1" applyAlignment="1">
      <alignment horizontal="center" vertical="center" wrapText="1" readingOrder="1"/>
    </xf>
    <xf numFmtId="164" fontId="8" fillId="3" borderId="2" xfId="1" applyNumberFormat="1" applyFont="1" applyFill="1" applyBorder="1" applyAlignment="1">
      <alignment horizontal="center" vertical="center" wrapText="1" readingOrder="1"/>
    </xf>
    <xf numFmtId="164" fontId="8" fillId="16" borderId="1" xfId="1" applyNumberFormat="1" applyFont="1" applyFill="1" applyBorder="1" applyAlignment="1">
      <alignment horizontal="center" vertical="center" readingOrder="1"/>
    </xf>
    <xf numFmtId="164" fontId="8" fillId="3" borderId="1" xfId="1" applyNumberFormat="1" applyFont="1" applyFill="1" applyBorder="1" applyAlignment="1">
      <alignment horizontal="center" vertical="center" readingOrder="1"/>
    </xf>
    <xf numFmtId="164" fontId="8" fillId="3" borderId="25" xfId="1" applyNumberFormat="1" applyFont="1" applyFill="1" applyBorder="1" applyAlignment="1">
      <alignment horizontal="center" vertical="center" readingOrder="1"/>
    </xf>
    <xf numFmtId="164" fontId="8" fillId="4" borderId="1" xfId="1" applyNumberFormat="1" applyFont="1" applyFill="1" applyBorder="1" applyAlignment="1">
      <alignment horizontal="center" vertical="center" wrapText="1" readingOrder="1"/>
    </xf>
    <xf numFmtId="164" fontId="8" fillId="4" borderId="1" xfId="1" applyNumberFormat="1" applyFont="1" applyFill="1" applyBorder="1" applyAlignment="1">
      <alignment horizontal="center" vertical="center" readingOrder="1"/>
    </xf>
    <xf numFmtId="164" fontId="8" fillId="4" borderId="25" xfId="1" applyNumberFormat="1" applyFont="1" applyFill="1" applyBorder="1" applyAlignment="1">
      <alignment horizontal="center" vertical="center" readingOrder="1"/>
    </xf>
    <xf numFmtId="164" fontId="8" fillId="13" borderId="27" xfId="1" applyNumberFormat="1" applyFont="1" applyFill="1" applyBorder="1" applyAlignment="1">
      <alignment horizontal="center" vertical="center" wrapText="1" readingOrder="1"/>
    </xf>
    <xf numFmtId="164" fontId="8" fillId="3" borderId="27" xfId="1" applyNumberFormat="1" applyFont="1" applyFill="1" applyBorder="1" applyAlignment="1">
      <alignment horizontal="center" vertical="center" readingOrder="1"/>
    </xf>
    <xf numFmtId="164" fontId="8" fillId="3" borderId="28" xfId="1" applyNumberFormat="1" applyFont="1" applyFill="1" applyBorder="1" applyAlignment="1">
      <alignment horizontal="center" vertical="center" readingOrder="1"/>
    </xf>
    <xf numFmtId="164" fontId="8" fillId="12" borderId="20" xfId="1" applyNumberFormat="1" applyFont="1" applyFill="1" applyBorder="1" applyAlignment="1">
      <alignment horizontal="center" vertical="center" wrapText="1" readingOrder="1"/>
    </xf>
    <xf numFmtId="164" fontId="8" fillId="13" borderId="20" xfId="1" applyNumberFormat="1" applyFont="1" applyFill="1" applyBorder="1" applyAlignment="1">
      <alignment horizontal="center" vertical="center" wrapText="1" readingOrder="1"/>
    </xf>
    <xf numFmtId="164" fontId="8" fillId="12" borderId="20" xfId="1" applyNumberFormat="1" applyFont="1" applyFill="1" applyBorder="1" applyAlignment="1">
      <alignment horizontal="center" vertical="center" readingOrder="1"/>
    </xf>
    <xf numFmtId="164" fontId="8" fillId="12" borderId="29" xfId="1" applyNumberFormat="1" applyFont="1" applyFill="1" applyBorder="1" applyAlignment="1">
      <alignment horizontal="center" vertical="center" readingOrder="1"/>
    </xf>
    <xf numFmtId="164" fontId="8" fillId="4" borderId="12" xfId="1" applyNumberFormat="1" applyFont="1" applyFill="1" applyBorder="1" applyAlignment="1">
      <alignment horizontal="center" vertical="center" readingOrder="1"/>
    </xf>
    <xf numFmtId="164" fontId="8" fillId="13" borderId="12" xfId="1" applyNumberFormat="1" applyFont="1" applyFill="1" applyBorder="1" applyAlignment="1">
      <alignment horizontal="center" vertical="center" wrapText="1" readingOrder="1"/>
    </xf>
    <xf numFmtId="164" fontId="8" fillId="4" borderId="21" xfId="1" applyNumberFormat="1" applyFont="1" applyFill="1" applyBorder="1" applyAlignment="1">
      <alignment horizontal="center" vertical="center" wrapText="1" readingOrder="1"/>
    </xf>
    <xf numFmtId="164" fontId="8" fillId="4" borderId="13" xfId="1" applyNumberFormat="1" applyFont="1" applyFill="1" applyBorder="1" applyAlignment="1">
      <alignment horizontal="center" vertical="center" readingOrder="1"/>
    </xf>
    <xf numFmtId="164" fontId="8" fillId="15" borderId="1" xfId="1" applyNumberFormat="1" applyFont="1" applyFill="1" applyBorder="1" applyAlignment="1">
      <alignment horizontal="center" vertical="center" readingOrder="1"/>
    </xf>
    <xf numFmtId="164" fontId="8" fillId="15" borderId="1" xfId="1" applyNumberFormat="1" applyFont="1" applyFill="1" applyBorder="1" applyAlignment="1">
      <alignment horizontal="center" vertical="center" wrapText="1" readingOrder="1"/>
    </xf>
    <xf numFmtId="164" fontId="8" fillId="3" borderId="27" xfId="1" applyNumberFormat="1" applyFont="1" applyFill="1" applyBorder="1" applyAlignment="1">
      <alignment horizontal="center" vertical="center" wrapText="1" readingOrder="1"/>
    </xf>
    <xf numFmtId="164" fontId="8" fillId="16" borderId="2" xfId="1" applyNumberFormat="1" applyFont="1" applyFill="1" applyBorder="1" applyAlignment="1">
      <alignment horizontal="center" vertical="center" wrapText="1" readingOrder="1"/>
    </xf>
    <xf numFmtId="165" fontId="13" fillId="5" borderId="1" xfId="1" applyNumberFormat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readingOrder="1"/>
    </xf>
    <xf numFmtId="165" fontId="8" fillId="16" borderId="27" xfId="1" applyNumberFormat="1" applyFont="1" applyFill="1" applyBorder="1" applyAlignment="1">
      <alignment horizontal="center" vertical="center" readingOrder="1"/>
    </xf>
    <xf numFmtId="164" fontId="10" fillId="12" borderId="30" xfId="1" applyNumberFormat="1" applyFont="1" applyFill="1" applyBorder="1" applyAlignment="1">
      <alignment horizontal="center" vertical="center" wrapText="1" readingOrder="1"/>
    </xf>
    <xf numFmtId="164" fontId="10" fillId="13" borderId="30" xfId="1" applyNumberFormat="1" applyFont="1" applyFill="1" applyBorder="1" applyAlignment="1">
      <alignment horizontal="center" vertical="center" wrapText="1" readingOrder="1"/>
    </xf>
    <xf numFmtId="164" fontId="8" fillId="12" borderId="30" xfId="1" applyNumberFormat="1" applyFont="1" applyFill="1" applyBorder="1" applyAlignment="1">
      <alignment horizontal="center" vertical="center" readingOrder="1"/>
    </xf>
    <xf numFmtId="164" fontId="8" fillId="12" borderId="31" xfId="1" applyNumberFormat="1" applyFont="1" applyFill="1" applyBorder="1" applyAlignment="1">
      <alignment horizontal="center" vertical="center" readingOrder="1"/>
    </xf>
    <xf numFmtId="164" fontId="8" fillId="13" borderId="21" xfId="1" applyNumberFormat="1" applyFont="1" applyFill="1" applyBorder="1" applyAlignment="1">
      <alignment horizontal="center" vertical="center" wrapText="1" readingOrder="1"/>
    </xf>
    <xf numFmtId="164" fontId="8" fillId="4" borderId="21" xfId="1" applyNumberFormat="1" applyFont="1" applyFill="1" applyBorder="1" applyAlignment="1">
      <alignment horizontal="center" vertical="center" readingOrder="1"/>
    </xf>
    <xf numFmtId="164" fontId="8" fillId="4" borderId="45" xfId="1" applyNumberFormat="1" applyFont="1" applyFill="1" applyBorder="1" applyAlignment="1">
      <alignment horizontal="center" vertical="center" readingOrder="1"/>
    </xf>
    <xf numFmtId="164" fontId="8" fillId="13" borderId="2" xfId="1" applyNumberFormat="1" applyFont="1" applyFill="1" applyBorder="1" applyAlignment="1">
      <alignment horizontal="center" vertical="center" wrapText="1" readingOrder="1"/>
    </xf>
    <xf numFmtId="164" fontId="8" fillId="15" borderId="2" xfId="1" applyNumberFormat="1" applyFont="1" applyFill="1" applyBorder="1" applyAlignment="1">
      <alignment horizontal="center" vertical="center" readingOrder="1"/>
    </xf>
    <xf numFmtId="164" fontId="8" fillId="16" borderId="2" xfId="1" applyNumberFormat="1" applyFont="1" applyFill="1" applyBorder="1" applyAlignment="1">
      <alignment horizontal="center" vertical="center" readingOrder="1"/>
    </xf>
    <xf numFmtId="164" fontId="8" fillId="3" borderId="2" xfId="1" applyNumberFormat="1" applyFont="1" applyFill="1" applyBorder="1" applyAlignment="1">
      <alignment horizontal="center" vertical="center" readingOrder="1"/>
    </xf>
    <xf numFmtId="164" fontId="8" fillId="3" borderId="14" xfId="1" applyNumberFormat="1" applyFont="1" applyFill="1" applyBorder="1" applyAlignment="1">
      <alignment horizontal="center" vertical="center" readingOrder="1"/>
    </xf>
    <xf numFmtId="164" fontId="8" fillId="4" borderId="2" xfId="1" applyNumberFormat="1" applyFont="1" applyFill="1" applyBorder="1" applyAlignment="1">
      <alignment horizontal="center" vertical="center" readingOrder="1"/>
    </xf>
    <xf numFmtId="164" fontId="8" fillId="4" borderId="14" xfId="1" applyNumberFormat="1" applyFont="1" applyFill="1" applyBorder="1" applyAlignment="1">
      <alignment horizontal="center" vertical="center" readingOrder="1"/>
    </xf>
    <xf numFmtId="164" fontId="8" fillId="15" borderId="2" xfId="1" applyNumberFormat="1" applyFont="1" applyFill="1" applyBorder="1" applyAlignment="1">
      <alignment horizontal="center" vertical="center" wrapText="1" readingOrder="1"/>
    </xf>
    <xf numFmtId="164" fontId="8" fillId="15" borderId="16" xfId="1" applyNumberFormat="1" applyFont="1" applyFill="1" applyBorder="1" applyAlignment="1">
      <alignment horizontal="center" vertical="center" wrapText="1" readingOrder="1"/>
    </xf>
    <xf numFmtId="164" fontId="8" fillId="13" borderId="16" xfId="1" applyNumberFormat="1" applyFont="1" applyFill="1" applyBorder="1" applyAlignment="1">
      <alignment horizontal="center" vertical="center" wrapText="1" readingOrder="1"/>
    </xf>
    <xf numFmtId="164" fontId="8" fillId="12" borderId="18" xfId="1" applyNumberFormat="1" applyFont="1" applyFill="1" applyBorder="1" applyAlignment="1">
      <alignment horizontal="center" vertical="center" wrapText="1" readingOrder="1"/>
    </xf>
    <xf numFmtId="164" fontId="8" fillId="13" borderId="18" xfId="1" applyNumberFormat="1" applyFont="1" applyFill="1" applyBorder="1" applyAlignment="1">
      <alignment horizontal="center" vertical="center" wrapText="1" readingOrder="1"/>
    </xf>
    <xf numFmtId="164" fontId="8" fillId="12" borderId="18" xfId="1" applyNumberFormat="1" applyFont="1" applyFill="1" applyBorder="1" applyAlignment="1">
      <alignment horizontal="center" vertical="center" readingOrder="1"/>
    </xf>
    <xf numFmtId="164" fontId="8" fillId="12" borderId="19" xfId="1" applyNumberFormat="1" applyFont="1" applyFill="1" applyBorder="1" applyAlignment="1">
      <alignment horizontal="center" vertical="center" readingOrder="1"/>
    </xf>
    <xf numFmtId="164" fontId="13" fillId="13" borderId="24" xfId="1" applyNumberFormat="1" applyFont="1" applyFill="1" applyBorder="1" applyAlignment="1">
      <alignment horizontal="center" vertical="center"/>
    </xf>
    <xf numFmtId="164" fontId="8" fillId="13" borderId="0" xfId="1" applyNumberFormat="1" applyFont="1" applyFill="1" applyBorder="1" applyAlignment="1">
      <alignment horizontal="center" vertical="center" wrapText="1" readingOrder="1"/>
    </xf>
    <xf numFmtId="164" fontId="8" fillId="5" borderId="1" xfId="1" applyNumberFormat="1" applyFont="1" applyFill="1" applyBorder="1" applyAlignment="1">
      <alignment horizontal="center" vertical="center" wrapText="1" readingOrder="1"/>
    </xf>
    <xf numFmtId="164" fontId="8" fillId="13" borderId="10" xfId="1" applyNumberFormat="1" applyFont="1" applyFill="1" applyBorder="1" applyAlignment="1">
      <alignment horizontal="center" vertical="center" wrapText="1" readingOrder="1"/>
    </xf>
    <xf numFmtId="164" fontId="13" fillId="5" borderId="1" xfId="1" applyNumberFormat="1" applyFont="1" applyFill="1" applyBorder="1" applyAlignment="1">
      <alignment horizontal="center" vertical="center"/>
    </xf>
    <xf numFmtId="164" fontId="13" fillId="13" borderId="7" xfId="1" applyNumberFormat="1" applyFont="1" applyFill="1" applyBorder="1" applyAlignment="1">
      <alignment horizontal="center" vertical="center"/>
    </xf>
    <xf numFmtId="164" fontId="8" fillId="13" borderId="3" xfId="1" applyNumberFormat="1" applyFont="1" applyFill="1" applyBorder="1" applyAlignment="1">
      <alignment horizontal="center" vertical="center" wrapText="1" readingOrder="1"/>
    </xf>
    <xf numFmtId="164" fontId="8" fillId="15" borderId="9" xfId="1" applyNumberFormat="1" applyFont="1" applyFill="1" applyBorder="1" applyAlignment="1">
      <alignment horizontal="center" vertical="center" readingOrder="1"/>
    </xf>
    <xf numFmtId="164" fontId="8" fillId="16" borderId="9" xfId="1" applyNumberFormat="1" applyFont="1" applyFill="1" applyBorder="1" applyAlignment="1">
      <alignment horizontal="center" vertical="center" readingOrder="1"/>
    </xf>
    <xf numFmtId="164" fontId="8" fillId="3" borderId="9" xfId="1" applyNumberFormat="1" applyFont="1" applyFill="1" applyBorder="1" applyAlignment="1">
      <alignment horizontal="center" vertical="center" readingOrder="1"/>
    </xf>
    <xf numFmtId="0" fontId="12" fillId="3" borderId="83" xfId="0" applyFont="1" applyFill="1" applyBorder="1" applyAlignment="1">
      <alignment horizontal="left" vertical="center" wrapText="1" readingOrder="1"/>
    </xf>
    <xf numFmtId="0" fontId="8" fillId="12" borderId="84" xfId="0" applyFont="1" applyFill="1" applyBorder="1" applyAlignment="1">
      <alignment horizontal="left" vertical="center" wrapText="1" readingOrder="1"/>
    </xf>
    <xf numFmtId="164" fontId="13" fillId="6" borderId="23" xfId="1" applyNumberFormat="1" applyFont="1" applyFill="1" applyBorder="1" applyAlignment="1">
      <alignment horizontal="center" vertical="center"/>
    </xf>
    <xf numFmtId="164" fontId="8" fillId="49" borderId="1" xfId="1" applyNumberFormat="1" applyFont="1" applyFill="1" applyBorder="1" applyAlignment="1">
      <alignment horizontal="center" readingOrder="1"/>
    </xf>
    <xf numFmtId="164" fontId="8" fillId="49" borderId="25" xfId="1" applyNumberFormat="1" applyFont="1" applyFill="1" applyBorder="1" applyAlignment="1">
      <alignment horizontal="center" readingOrder="1"/>
    </xf>
    <xf numFmtId="164" fontId="0" fillId="0" borderId="0" xfId="0" applyNumberFormat="1"/>
    <xf numFmtId="164" fontId="8" fillId="16" borderId="27" xfId="1" applyNumberFormat="1" applyFont="1" applyFill="1" applyBorder="1" applyAlignment="1">
      <alignment horizontal="center" vertical="center" wrapText="1" readingOrder="1"/>
    </xf>
    <xf numFmtId="164" fontId="8" fillId="16" borderId="27" xfId="1" applyNumberFormat="1" applyFont="1" applyFill="1" applyBorder="1" applyAlignment="1">
      <alignment horizontal="center" vertical="center" readingOrder="1"/>
    </xf>
    <xf numFmtId="17" fontId="9" fillId="15" borderId="16" xfId="0" applyNumberFormat="1" applyFont="1" applyFill="1" applyBorder="1" applyAlignment="1">
      <alignment horizontal="center" wrapText="1" readingOrder="1"/>
    </xf>
    <xf numFmtId="164" fontId="8" fillId="17" borderId="27" xfId="1" applyNumberFormat="1" applyFont="1" applyFill="1" applyBorder="1" applyAlignment="1">
      <alignment horizontal="center" vertical="center" readingOrder="1"/>
    </xf>
    <xf numFmtId="0" fontId="9" fillId="2" borderId="58" xfId="0" applyFont="1" applyFill="1" applyBorder="1" applyAlignment="1">
      <alignment horizontal="center" wrapText="1" readingOrder="1"/>
    </xf>
    <xf numFmtId="0" fontId="9" fillId="2" borderId="53" xfId="0" applyFont="1" applyFill="1" applyBorder="1" applyAlignment="1">
      <alignment horizontal="center" wrapText="1" readingOrder="1"/>
    </xf>
    <xf numFmtId="0" fontId="9" fillId="2" borderId="54" xfId="0" applyFont="1" applyFill="1" applyBorder="1" applyAlignment="1">
      <alignment horizontal="center" wrapText="1" readingOrder="1"/>
    </xf>
    <xf numFmtId="0" fontId="9" fillId="0" borderId="34" xfId="0" applyFont="1" applyBorder="1" applyAlignment="1">
      <alignment horizontal="center" vertical="center" wrapText="1" readingOrder="1"/>
    </xf>
    <xf numFmtId="0" fontId="9" fillId="0" borderId="35" xfId="0" applyFont="1" applyBorder="1" applyAlignment="1">
      <alignment horizontal="center" vertical="center" wrapText="1" readingOrder="1"/>
    </xf>
    <xf numFmtId="0" fontId="9" fillId="0" borderId="36" xfId="0" applyFont="1" applyBorder="1" applyAlignment="1">
      <alignment horizontal="center" vertical="center" wrapText="1" readingOrder="1"/>
    </xf>
    <xf numFmtId="0" fontId="8" fillId="14" borderId="51" xfId="0" applyFont="1" applyFill="1" applyBorder="1" applyAlignment="1">
      <alignment horizontal="left" vertical="center" wrapText="1" readingOrder="1"/>
    </xf>
    <xf numFmtId="0" fontId="8" fillId="14" borderId="44" xfId="0" applyFont="1" applyFill="1" applyBorder="1" applyAlignment="1">
      <alignment horizontal="left" vertical="center" wrapText="1" readingOrder="1"/>
    </xf>
    <xf numFmtId="0" fontId="12" fillId="3" borderId="51" xfId="0" applyFont="1" applyFill="1" applyBorder="1" applyAlignment="1">
      <alignment horizontal="left" vertical="center" wrapText="1" readingOrder="1"/>
    </xf>
    <xf numFmtId="0" fontId="12" fillId="3" borderId="44" xfId="0" applyFont="1" applyFill="1" applyBorder="1" applyAlignment="1">
      <alignment horizontal="left" vertical="center" wrapText="1" readingOrder="1"/>
    </xf>
    <xf numFmtId="0" fontId="8" fillId="14" borderId="42" xfId="0" applyFont="1" applyFill="1" applyBorder="1" applyAlignment="1">
      <alignment horizontal="left" vertical="center" wrapText="1" readingOrder="1"/>
    </xf>
    <xf numFmtId="0" fontId="8" fillId="14" borderId="50" xfId="0" applyFont="1" applyFill="1" applyBorder="1" applyAlignment="1">
      <alignment horizontal="left" vertical="center" wrapText="1" readingOrder="1"/>
    </xf>
    <xf numFmtId="0" fontId="8" fillId="0" borderId="34" xfId="0" applyFont="1" applyBorder="1" applyAlignment="1">
      <alignment horizontal="center" vertical="center" wrapText="1" readingOrder="1"/>
    </xf>
    <xf numFmtId="0" fontId="8" fillId="0" borderId="35" xfId="0" applyFont="1" applyBorder="1" applyAlignment="1">
      <alignment horizontal="center" vertical="center" wrapText="1" readingOrder="1"/>
    </xf>
    <xf numFmtId="0" fontId="8" fillId="0" borderId="36" xfId="0" applyFont="1" applyBorder="1" applyAlignment="1">
      <alignment horizontal="center" vertical="center" wrapText="1" readingOrder="1"/>
    </xf>
    <xf numFmtId="0" fontId="12" fillId="3" borderId="51" xfId="0" applyFont="1" applyFill="1" applyBorder="1" applyAlignment="1">
      <alignment vertical="center" wrapText="1" readingOrder="1"/>
    </xf>
    <xf numFmtId="0" fontId="12" fillId="3" borderId="50" xfId="0" applyFont="1" applyFill="1" applyBorder="1" applyAlignment="1">
      <alignment vertical="center" wrapText="1" readingOrder="1"/>
    </xf>
    <xf numFmtId="0" fontId="12" fillId="3" borderId="42" xfId="0" applyFont="1" applyFill="1" applyBorder="1" applyAlignment="1">
      <alignment vertical="center" wrapText="1" readingOrder="1"/>
    </xf>
    <xf numFmtId="0" fontId="8" fillId="0" borderId="32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2" borderId="42" xfId="0" applyFont="1" applyFill="1" applyBorder="1" applyAlignment="1">
      <alignment horizontal="center" vertical="center" wrapText="1" readingOrder="1"/>
    </xf>
    <xf numFmtId="0" fontId="9" fillId="2" borderId="44" xfId="0" applyFont="1" applyFill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center" vertical="top" wrapText="1" readingOrder="1"/>
    </xf>
    <xf numFmtId="0" fontId="9" fillId="2" borderId="15" xfId="0" applyFont="1" applyFill="1" applyBorder="1" applyAlignment="1">
      <alignment horizontal="center" vertical="top" wrapText="1" readingOrder="1"/>
    </xf>
    <xf numFmtId="0" fontId="9" fillId="15" borderId="52" xfId="0" applyFont="1" applyFill="1" applyBorder="1" applyAlignment="1">
      <alignment horizontal="center" wrapText="1" readingOrder="1"/>
    </xf>
    <xf numFmtId="0" fontId="9" fillId="15" borderId="87" xfId="0" applyFont="1" applyFill="1" applyBorder="1" applyAlignment="1">
      <alignment horizontal="center" wrapText="1" readingOrder="1"/>
    </xf>
    <xf numFmtId="0" fontId="12" fillId="3" borderId="43" xfId="0" applyFont="1" applyFill="1" applyBorder="1" applyAlignment="1">
      <alignment horizontal="left" vertical="center" wrapText="1" readingOrder="1"/>
    </xf>
    <xf numFmtId="0" fontId="8" fillId="0" borderId="42" xfId="0" applyFont="1" applyBorder="1" applyAlignment="1">
      <alignment horizontal="center" vertical="center" wrapText="1" readingOrder="1"/>
    </xf>
    <xf numFmtId="0" fontId="8" fillId="0" borderId="43" xfId="0" applyFont="1" applyBorder="1" applyAlignment="1">
      <alignment horizontal="center" vertical="center" wrapText="1" readingOrder="1"/>
    </xf>
    <xf numFmtId="0" fontId="8" fillId="0" borderId="44" xfId="0" applyFont="1" applyBorder="1" applyAlignment="1">
      <alignment horizontal="center" vertical="center" wrapText="1" readingOrder="1"/>
    </xf>
    <xf numFmtId="0" fontId="12" fillId="3" borderId="85" xfId="0" applyFont="1" applyFill="1" applyBorder="1" applyAlignment="1">
      <alignment horizontal="left" vertical="center" wrapText="1" readingOrder="1"/>
    </xf>
    <xf numFmtId="0" fontId="12" fillId="3" borderId="86" xfId="0" applyFont="1" applyFill="1" applyBorder="1" applyAlignment="1">
      <alignment horizontal="left" vertical="center" wrapText="1" readingOrder="1"/>
    </xf>
    <xf numFmtId="0" fontId="9" fillId="0" borderId="42" xfId="0" applyFont="1" applyBorder="1" applyAlignment="1">
      <alignment horizontal="center" vertical="center" wrapText="1" readingOrder="1"/>
    </xf>
    <xf numFmtId="0" fontId="9" fillId="0" borderId="43" xfId="0" applyFont="1" applyBorder="1" applyAlignment="1">
      <alignment horizontal="center" vertical="center" wrapText="1" readingOrder="1"/>
    </xf>
    <xf numFmtId="0" fontId="8" fillId="0" borderId="41" xfId="0" applyFont="1" applyBorder="1" applyAlignment="1">
      <alignment horizontal="center" vertical="center" wrapText="1" readingOrder="1"/>
    </xf>
    <xf numFmtId="0" fontId="12" fillId="3" borderId="42" xfId="0" applyFont="1" applyFill="1" applyBorder="1" applyAlignment="1">
      <alignment horizontal="left" vertical="center" wrapText="1" readingOrder="1"/>
    </xf>
    <xf numFmtId="0" fontId="0" fillId="17" borderId="1" xfId="0" applyFill="1" applyBorder="1"/>
    <xf numFmtId="0" fontId="0" fillId="50" borderId="1" xfId="0" applyFill="1" applyBorder="1"/>
  </cellXfs>
  <cellStyles count="392">
    <cellStyle name="\¦ÏÝÌnCp[N" xfId="7" xr:uid="{00000000-0005-0000-0000-000000000000}"/>
    <cellStyle name="nCp[N" xfId="8" xr:uid="{00000000-0005-0000-0000-000001000000}"/>
    <cellStyle name="W_ã\Z" xfId="9" xr:uid="{00000000-0005-0000-0000-000002000000}"/>
    <cellStyle name="2)" xfId="259" xr:uid="{00000000-0005-0000-0000-000003000000}"/>
    <cellStyle name="20% - ส่วนที่ถูกเน้น1" xfId="147" xr:uid="{00000000-0005-0000-0000-000004000000}"/>
    <cellStyle name="20% - ส่วนที่ถูกเน้น2" xfId="148" xr:uid="{00000000-0005-0000-0000-000005000000}"/>
    <cellStyle name="20% - ส่วนที่ถูกเน้น3" xfId="149" xr:uid="{00000000-0005-0000-0000-000006000000}"/>
    <cellStyle name="20% - ส่วนที่ถูกเน้น4" xfId="150" xr:uid="{00000000-0005-0000-0000-000007000000}"/>
    <cellStyle name="20% - ส่วนที่ถูกเน้น5" xfId="151" xr:uid="{00000000-0005-0000-0000-000008000000}"/>
    <cellStyle name="20% - ส่วนที่ถูกเน้น6" xfId="152" xr:uid="{00000000-0005-0000-0000-000009000000}"/>
    <cellStyle name="40% - ส่วนที่ถูกเน้น1" xfId="153" xr:uid="{00000000-0005-0000-0000-00000A000000}"/>
    <cellStyle name="40% - ส่วนที่ถูกเน้น2" xfId="154" xr:uid="{00000000-0005-0000-0000-00000B000000}"/>
    <cellStyle name="40% - ส่วนที่ถูกเน้น3" xfId="155" xr:uid="{00000000-0005-0000-0000-00000C000000}"/>
    <cellStyle name="40% - ส่วนที่ถูกเน้น4" xfId="156" xr:uid="{00000000-0005-0000-0000-00000D000000}"/>
    <cellStyle name="40% - ส่วนที่ถูกเน้น5" xfId="157" xr:uid="{00000000-0005-0000-0000-00000E000000}"/>
    <cellStyle name="40% - ส่วนที่ถูกเน้น6" xfId="158" xr:uid="{00000000-0005-0000-0000-00000F000000}"/>
    <cellStyle name="60% - ส่วนที่ถูกเน้น1" xfId="159" xr:uid="{00000000-0005-0000-0000-000010000000}"/>
    <cellStyle name="60% - ส่วนที่ถูกเน้น2" xfId="160" xr:uid="{00000000-0005-0000-0000-000011000000}"/>
    <cellStyle name="60% - ส่วนที่ถูกเน้น3" xfId="161" xr:uid="{00000000-0005-0000-0000-000012000000}"/>
    <cellStyle name="60% - ส่วนที่ถูกเน้น4" xfId="162" xr:uid="{00000000-0005-0000-0000-000013000000}"/>
    <cellStyle name="60% - ส่วนที่ถูกเน้น5" xfId="163" xr:uid="{00000000-0005-0000-0000-000014000000}"/>
    <cellStyle name="60% - ส่วนที่ถูกเน้น6" xfId="164" xr:uid="{00000000-0005-0000-0000-000015000000}"/>
    <cellStyle name="75" xfId="10" xr:uid="{00000000-0005-0000-0000-000016000000}"/>
    <cellStyle name="75 2" xfId="11" xr:uid="{00000000-0005-0000-0000-000017000000}"/>
    <cellStyle name="A - Style1" xfId="165" xr:uid="{00000000-0005-0000-0000-000018000000}"/>
    <cellStyle name="a_QTR94_95_1ฟ๙ศธบ๑ณปฟช (2)" xfId="260" xr:uid="{00000000-0005-0000-0000-000019000000}"/>
    <cellStyle name="Benchmark" xfId="12" xr:uid="{00000000-0005-0000-0000-00001A000000}"/>
    <cellStyle name="Benchmark 2" xfId="13" xr:uid="{00000000-0005-0000-0000-00001B000000}"/>
    <cellStyle name="Calc" xfId="14" xr:uid="{00000000-0005-0000-0000-00001C000000}"/>
    <cellStyle name="Comma" xfId="1" builtinId="3"/>
    <cellStyle name="Comma  - Style1" xfId="15" xr:uid="{00000000-0005-0000-0000-00001E000000}"/>
    <cellStyle name="Comma  - Style1 2" xfId="16" xr:uid="{00000000-0005-0000-0000-00001F000000}"/>
    <cellStyle name="Comma  - Style1 3" xfId="17" xr:uid="{00000000-0005-0000-0000-000020000000}"/>
    <cellStyle name="Comma  - Style1 3 2" xfId="271" xr:uid="{00000000-0005-0000-0000-000021000000}"/>
    <cellStyle name="Comma  - Style1 4" xfId="18" xr:uid="{00000000-0005-0000-0000-000022000000}"/>
    <cellStyle name="Comma  - Style2" xfId="19" xr:uid="{00000000-0005-0000-0000-000023000000}"/>
    <cellStyle name="Comma  - Style2 2" xfId="20" xr:uid="{00000000-0005-0000-0000-000024000000}"/>
    <cellStyle name="Comma  - Style2 3" xfId="21" xr:uid="{00000000-0005-0000-0000-000025000000}"/>
    <cellStyle name="Comma  - Style2 3 2" xfId="273" xr:uid="{00000000-0005-0000-0000-000026000000}"/>
    <cellStyle name="Comma  - Style2 4" xfId="22" xr:uid="{00000000-0005-0000-0000-000027000000}"/>
    <cellStyle name="Comma  - Style3" xfId="23" xr:uid="{00000000-0005-0000-0000-000028000000}"/>
    <cellStyle name="Comma  - Style3 2" xfId="24" xr:uid="{00000000-0005-0000-0000-000029000000}"/>
    <cellStyle name="Comma  - Style3 3" xfId="25" xr:uid="{00000000-0005-0000-0000-00002A000000}"/>
    <cellStyle name="Comma  - Style3 3 2" xfId="274" xr:uid="{00000000-0005-0000-0000-00002B000000}"/>
    <cellStyle name="Comma  - Style3 4" xfId="26" xr:uid="{00000000-0005-0000-0000-00002C000000}"/>
    <cellStyle name="Comma  - Style4" xfId="27" xr:uid="{00000000-0005-0000-0000-00002D000000}"/>
    <cellStyle name="Comma  - Style4 2" xfId="28" xr:uid="{00000000-0005-0000-0000-00002E000000}"/>
    <cellStyle name="Comma  - Style4 3" xfId="29" xr:uid="{00000000-0005-0000-0000-00002F000000}"/>
    <cellStyle name="Comma  - Style4 3 2" xfId="275" xr:uid="{00000000-0005-0000-0000-000030000000}"/>
    <cellStyle name="Comma  - Style4 4" xfId="30" xr:uid="{00000000-0005-0000-0000-000031000000}"/>
    <cellStyle name="Comma  - Style5" xfId="31" xr:uid="{00000000-0005-0000-0000-000032000000}"/>
    <cellStyle name="Comma  - Style5 2" xfId="32" xr:uid="{00000000-0005-0000-0000-000033000000}"/>
    <cellStyle name="Comma  - Style5 3" xfId="33" xr:uid="{00000000-0005-0000-0000-000034000000}"/>
    <cellStyle name="Comma  - Style5 3 2" xfId="276" xr:uid="{00000000-0005-0000-0000-000035000000}"/>
    <cellStyle name="Comma  - Style5 4" xfId="34" xr:uid="{00000000-0005-0000-0000-000036000000}"/>
    <cellStyle name="Comma  - Style6" xfId="35" xr:uid="{00000000-0005-0000-0000-000037000000}"/>
    <cellStyle name="Comma  - Style6 2" xfId="36" xr:uid="{00000000-0005-0000-0000-000038000000}"/>
    <cellStyle name="Comma  - Style6 3" xfId="37" xr:uid="{00000000-0005-0000-0000-000039000000}"/>
    <cellStyle name="Comma  - Style6 3 2" xfId="277" xr:uid="{00000000-0005-0000-0000-00003A000000}"/>
    <cellStyle name="Comma  - Style6 4" xfId="38" xr:uid="{00000000-0005-0000-0000-00003B000000}"/>
    <cellStyle name="Comma  - Style7" xfId="39" xr:uid="{00000000-0005-0000-0000-00003C000000}"/>
    <cellStyle name="Comma  - Style7 2" xfId="40" xr:uid="{00000000-0005-0000-0000-00003D000000}"/>
    <cellStyle name="Comma  - Style7 3" xfId="41" xr:uid="{00000000-0005-0000-0000-00003E000000}"/>
    <cellStyle name="Comma  - Style7 3 2" xfId="278" xr:uid="{00000000-0005-0000-0000-00003F000000}"/>
    <cellStyle name="Comma  - Style7 4" xfId="42" xr:uid="{00000000-0005-0000-0000-000040000000}"/>
    <cellStyle name="Comma  - Style8" xfId="43" xr:uid="{00000000-0005-0000-0000-000041000000}"/>
    <cellStyle name="Comma  - Style8 2" xfId="44" xr:uid="{00000000-0005-0000-0000-000042000000}"/>
    <cellStyle name="Comma  - Style8 3" xfId="45" xr:uid="{00000000-0005-0000-0000-000043000000}"/>
    <cellStyle name="Comma  - Style8 3 2" xfId="279" xr:uid="{00000000-0005-0000-0000-000044000000}"/>
    <cellStyle name="Comma  - Style8 4" xfId="46" xr:uid="{00000000-0005-0000-0000-000045000000}"/>
    <cellStyle name="Comma [0] 2" xfId="304" xr:uid="{00000000-0005-0000-0000-000046000000}"/>
    <cellStyle name="Comma 10" xfId="267" xr:uid="{00000000-0005-0000-0000-000047000000}"/>
    <cellStyle name="Comma 11" xfId="270" xr:uid="{00000000-0005-0000-0000-000048000000}"/>
    <cellStyle name="Comma 11 2" xfId="334" xr:uid="{00000000-0005-0000-0000-000049000000}"/>
    <cellStyle name="Comma 12" xfId="299" xr:uid="{00000000-0005-0000-0000-00004A000000}"/>
    <cellStyle name="Comma 12 2" xfId="339" xr:uid="{00000000-0005-0000-0000-00004B000000}"/>
    <cellStyle name="Comma 13" xfId="307" xr:uid="{00000000-0005-0000-0000-00004C000000}"/>
    <cellStyle name="Comma 14" xfId="344" xr:uid="{00000000-0005-0000-0000-00004D000000}"/>
    <cellStyle name="Comma 15" xfId="346" xr:uid="{00000000-0005-0000-0000-00004E000000}"/>
    <cellStyle name="Comma 16" xfId="350" xr:uid="{00000000-0005-0000-0000-00004F000000}"/>
    <cellStyle name="Comma 17" xfId="348" xr:uid="{00000000-0005-0000-0000-000050000000}"/>
    <cellStyle name="Comma 18" xfId="355" xr:uid="{00000000-0005-0000-0000-000051000000}"/>
    <cellStyle name="Comma 2" xfId="5" xr:uid="{8CBC1906-51E2-43A8-8B58-516C78418FCE}"/>
    <cellStyle name="Comma 2 2" xfId="47" xr:uid="{00000000-0005-0000-0000-000053000000}"/>
    <cellStyle name="Comma 2 2 2" xfId="280" xr:uid="{00000000-0005-0000-0000-000054000000}"/>
    <cellStyle name="Comma 2 3" xfId="48" xr:uid="{00000000-0005-0000-0000-000055000000}"/>
    <cellStyle name="Comma 2 3 2" xfId="281" xr:uid="{00000000-0005-0000-0000-000056000000}"/>
    <cellStyle name="Comma 3" xfId="3" xr:uid="{00000000-0005-0000-0000-00002F000000}"/>
    <cellStyle name="Comma 3 2" xfId="282" xr:uid="{00000000-0005-0000-0000-000058000000}"/>
    <cellStyle name="Comma 3 3" xfId="49" xr:uid="{00000000-0005-0000-0000-000057000000}"/>
    <cellStyle name="Comma 4" xfId="50" xr:uid="{00000000-0005-0000-0000-000059000000}"/>
    <cellStyle name="Comma 4 2" xfId="284" xr:uid="{00000000-0005-0000-0000-00005A000000}"/>
    <cellStyle name="Comma 4 3" xfId="283" xr:uid="{00000000-0005-0000-0000-00005B000000}"/>
    <cellStyle name="Comma 45" xfId="359" xr:uid="{00000000-0005-0000-0000-00005C000000}"/>
    <cellStyle name="Comma 5" xfId="51" xr:uid="{00000000-0005-0000-0000-00005D000000}"/>
    <cellStyle name="Comma 5 2" xfId="285" xr:uid="{00000000-0005-0000-0000-00005E000000}"/>
    <cellStyle name="Comma 6" xfId="52" xr:uid="{00000000-0005-0000-0000-00005F000000}"/>
    <cellStyle name="Comma 6 2" xfId="286" xr:uid="{00000000-0005-0000-0000-000060000000}"/>
    <cellStyle name="Comma 7" xfId="53" xr:uid="{00000000-0005-0000-0000-000061000000}"/>
    <cellStyle name="Comma 7 2" xfId="288" xr:uid="{00000000-0005-0000-0000-000062000000}"/>
    <cellStyle name="Comma 7 3" xfId="287" xr:uid="{00000000-0005-0000-0000-000063000000}"/>
    <cellStyle name="Comma 8" xfId="145" xr:uid="{00000000-0005-0000-0000-000064000000}"/>
    <cellStyle name="Comma 8 2" xfId="290" xr:uid="{00000000-0005-0000-0000-000065000000}"/>
    <cellStyle name="Comma 8 3" xfId="289" xr:uid="{00000000-0005-0000-0000-000066000000}"/>
    <cellStyle name="Comma 8 4" xfId="301" xr:uid="{00000000-0005-0000-0000-000067000000}"/>
    <cellStyle name="Comma 9" xfId="261" xr:uid="{00000000-0005-0000-0000-000068000000}"/>
    <cellStyle name="Comma 9 2" xfId="291" xr:uid="{00000000-0005-0000-0000-000069000000}"/>
    <cellStyle name="comma zerodec" xfId="54" xr:uid="{00000000-0005-0000-0000-00006A000000}"/>
    <cellStyle name="Comma0.5" xfId="55" xr:uid="{00000000-0005-0000-0000-00006C000000}"/>
    <cellStyle name="Comma0.5 2" xfId="56" xr:uid="{00000000-0005-0000-0000-00006D000000}"/>
    <cellStyle name="Comma1.3" xfId="57" xr:uid="{00000000-0005-0000-0000-00006E000000}"/>
    <cellStyle name="Comma1.3 2" xfId="58" xr:uid="{00000000-0005-0000-0000-00006F000000}"/>
    <cellStyle name="Comma1.5" xfId="59" xr:uid="{00000000-0005-0000-0000-000070000000}"/>
    <cellStyle name="Comma1.5 2" xfId="60" xr:uid="{00000000-0005-0000-0000-000071000000}"/>
    <cellStyle name="Comma1.8" xfId="61" xr:uid="{00000000-0005-0000-0000-000072000000}"/>
    <cellStyle name="Comma1.8 2" xfId="62" xr:uid="{00000000-0005-0000-0000-000073000000}"/>
    <cellStyle name="Comma2" xfId="63" xr:uid="{00000000-0005-0000-0000-000074000000}"/>
    <cellStyle name="Comma2.3" xfId="64" xr:uid="{00000000-0005-0000-0000-000075000000}"/>
    <cellStyle name="Comma2.3 2" xfId="65" xr:uid="{00000000-0005-0000-0000-000076000000}"/>
    <cellStyle name="Comma2.5" xfId="66" xr:uid="{00000000-0005-0000-0000-000077000000}"/>
    <cellStyle name="Comma2.5 2" xfId="67" xr:uid="{00000000-0005-0000-0000-000078000000}"/>
    <cellStyle name="Curren - Style3" xfId="166" xr:uid="{00000000-0005-0000-0000-000079000000}"/>
    <cellStyle name="Curren - Style4" xfId="167" xr:uid="{00000000-0005-0000-0000-00007A000000}"/>
    <cellStyle name="Currency1" xfId="68" xr:uid="{00000000-0005-0000-0000-00007B000000}"/>
    <cellStyle name="Date" xfId="69" xr:uid="{00000000-0005-0000-0000-00007C000000}"/>
    <cellStyle name="Date 2" xfId="70" xr:uid="{00000000-0005-0000-0000-00007D000000}"/>
    <cellStyle name="Dollar (zero dec)" xfId="71" xr:uid="{00000000-0005-0000-0000-00007E000000}"/>
    <cellStyle name="Fixed" xfId="72" xr:uid="{00000000-0005-0000-0000-00007F000000}"/>
    <cellStyle name="Grey" xfId="73" xr:uid="{00000000-0005-0000-0000-000080000000}"/>
    <cellStyle name="Grey 2" xfId="74" xr:uid="{00000000-0005-0000-0000-000081000000}"/>
    <cellStyle name="Header - Style1" xfId="75" xr:uid="{00000000-0005-0000-0000-000082000000}"/>
    <cellStyle name="Header1" xfId="76" xr:uid="{00000000-0005-0000-0000-000083000000}"/>
    <cellStyle name="Header1 2" xfId="262" xr:uid="{00000000-0005-0000-0000-000084000000}"/>
    <cellStyle name="Header2" xfId="77" xr:uid="{00000000-0005-0000-0000-000085000000}"/>
    <cellStyle name="Header2 2" xfId="263" xr:uid="{00000000-0005-0000-0000-000086000000}"/>
    <cellStyle name="Heading" xfId="78" xr:uid="{00000000-0005-0000-0000-000087000000}"/>
    <cellStyle name="HEADING1" xfId="79" xr:uid="{00000000-0005-0000-0000-000088000000}"/>
    <cellStyle name="HEADING2" xfId="80" xr:uid="{00000000-0005-0000-0000-000089000000}"/>
    <cellStyle name="HEADING2 2" xfId="81" xr:uid="{00000000-0005-0000-0000-00008A000000}"/>
    <cellStyle name="Historical" xfId="82" xr:uid="{00000000-0005-0000-0000-00008B000000}"/>
    <cellStyle name="Historical 2" xfId="83" xr:uid="{00000000-0005-0000-0000-00008C000000}"/>
    <cellStyle name="Input [yellow]" xfId="84" xr:uid="{00000000-0005-0000-0000-00008D000000}"/>
    <cellStyle name="Input [yellow] 2" xfId="85" xr:uid="{00000000-0005-0000-0000-00008E000000}"/>
    <cellStyle name="Input 2" xfId="86" xr:uid="{00000000-0005-0000-0000-00008F000000}"/>
    <cellStyle name="Migliaia (0)" xfId="168" xr:uid="{00000000-0005-0000-0000-000090000000}"/>
    <cellStyle name="Milliers [0]_AR1194" xfId="169" xr:uid="{00000000-0005-0000-0000-000091000000}"/>
    <cellStyle name="Milliers_AR1194" xfId="170" xr:uid="{00000000-0005-0000-0000-000092000000}"/>
    <cellStyle name="Mon?taire [0]_AR1194" xfId="171" xr:uid="{00000000-0005-0000-0000-000093000000}"/>
    <cellStyle name="Mon?taire_AR1194" xfId="172" xr:uid="{00000000-0005-0000-0000-000094000000}"/>
    <cellStyle name="no dec" xfId="87" xr:uid="{00000000-0005-0000-0000-000095000000}"/>
    <cellStyle name="Normal" xfId="0" builtinId="0"/>
    <cellStyle name="Normal - Style1" xfId="88" xr:uid="{00000000-0005-0000-0000-000097000000}"/>
    <cellStyle name="Normal - Style1 2" xfId="89" xr:uid="{00000000-0005-0000-0000-000098000000}"/>
    <cellStyle name="Normal - Style1 3" xfId="264" xr:uid="{00000000-0005-0000-0000-000099000000}"/>
    <cellStyle name="Normal - Style5" xfId="173" xr:uid="{00000000-0005-0000-0000-00009A000000}"/>
    <cellStyle name="Normal 10" xfId="269" xr:uid="{00000000-0005-0000-0000-00009B000000}"/>
    <cellStyle name="Normal 10 2" xfId="333" xr:uid="{00000000-0005-0000-0000-00009C000000}"/>
    <cellStyle name="Normal 11" xfId="300" xr:uid="{00000000-0005-0000-0000-00009D000000}"/>
    <cellStyle name="Normal 11 2" xfId="340" xr:uid="{00000000-0005-0000-0000-00009E000000}"/>
    <cellStyle name="Normal 12" xfId="303" xr:uid="{00000000-0005-0000-0000-00009F000000}"/>
    <cellStyle name="Normal 13" xfId="306" xr:uid="{00000000-0005-0000-0000-0000A0000000}"/>
    <cellStyle name="Normal 14" xfId="305" xr:uid="{00000000-0005-0000-0000-0000A1000000}"/>
    <cellStyle name="Normal 14 2" xfId="357" xr:uid="{00000000-0005-0000-0000-0000A2000000}"/>
    <cellStyle name="Normal 14 2 2" xfId="390" xr:uid="{00000000-0005-0000-0000-0000A2000000}"/>
    <cellStyle name="Normal 14 3" xfId="343" xr:uid="{00000000-0005-0000-0000-0000A3000000}"/>
    <cellStyle name="Normal 14 3 2" xfId="389" xr:uid="{00000000-0005-0000-0000-0000A3000000}"/>
    <cellStyle name="Normal 14 4" xfId="360" xr:uid="{00000000-0005-0000-0000-0000A1000000}"/>
    <cellStyle name="Normal 15" xfId="321" xr:uid="{00000000-0005-0000-0000-0000A4000000}"/>
    <cellStyle name="Normal 15 2" xfId="374" xr:uid="{00000000-0005-0000-0000-0000A4000000}"/>
    <cellStyle name="Normal 16" xfId="323" xr:uid="{00000000-0005-0000-0000-0000A5000000}"/>
    <cellStyle name="Normal 16 2" xfId="375" xr:uid="{00000000-0005-0000-0000-0000A5000000}"/>
    <cellStyle name="Normal 17" xfId="308" xr:uid="{00000000-0005-0000-0000-0000A6000000}"/>
    <cellStyle name="Normal 17 2" xfId="361" xr:uid="{00000000-0005-0000-0000-0000A6000000}"/>
    <cellStyle name="Normal 18" xfId="331" xr:uid="{00000000-0005-0000-0000-0000A7000000}"/>
    <cellStyle name="Normal 18 2" xfId="383" xr:uid="{00000000-0005-0000-0000-0000A7000000}"/>
    <cellStyle name="Normal 19" xfId="312" xr:uid="{00000000-0005-0000-0000-0000A8000000}"/>
    <cellStyle name="Normal 19 2" xfId="365" xr:uid="{00000000-0005-0000-0000-0000A8000000}"/>
    <cellStyle name="Normal 2" xfId="2" xr:uid="{00000000-0005-0000-0000-000031000000}"/>
    <cellStyle name="Normal 2 2" xfId="6" xr:uid="{C45EDDCB-808F-47A9-BB4A-3A2FF22A8350}"/>
    <cellStyle name="Normal 2 3" xfId="265" xr:uid="{00000000-0005-0000-0000-0000AB000000}"/>
    <cellStyle name="Normal 2 4" xfId="90" xr:uid="{00000000-0005-0000-0000-0000A9000000}"/>
    <cellStyle name="Normal 20" xfId="330" xr:uid="{00000000-0005-0000-0000-0000AC000000}"/>
    <cellStyle name="Normal 20 2" xfId="382" xr:uid="{00000000-0005-0000-0000-0000AC000000}"/>
    <cellStyle name="Normal 21" xfId="314" xr:uid="{00000000-0005-0000-0000-0000AD000000}"/>
    <cellStyle name="Normal 21 2" xfId="367" xr:uid="{00000000-0005-0000-0000-0000AD000000}"/>
    <cellStyle name="Normal 22" xfId="341" xr:uid="{00000000-0005-0000-0000-0000AE000000}"/>
    <cellStyle name="Normal 22 2" xfId="387" xr:uid="{00000000-0005-0000-0000-0000AE000000}"/>
    <cellStyle name="Normal 23" xfId="318" xr:uid="{00000000-0005-0000-0000-0000AF000000}"/>
    <cellStyle name="Normal 23 2" xfId="371" xr:uid="{00000000-0005-0000-0000-0000AF000000}"/>
    <cellStyle name="Normal 24" xfId="319" xr:uid="{00000000-0005-0000-0000-0000B0000000}"/>
    <cellStyle name="Normal 24 2" xfId="372" xr:uid="{00000000-0005-0000-0000-0000B0000000}"/>
    <cellStyle name="Normal 25" xfId="328" xr:uid="{00000000-0005-0000-0000-0000B1000000}"/>
    <cellStyle name="Normal 25 2" xfId="380" xr:uid="{00000000-0005-0000-0000-0000B1000000}"/>
    <cellStyle name="Normal 26" xfId="316" xr:uid="{00000000-0005-0000-0000-0000B2000000}"/>
    <cellStyle name="Normal 26 2" xfId="369" xr:uid="{00000000-0005-0000-0000-0000B2000000}"/>
    <cellStyle name="Normal 27" xfId="329" xr:uid="{00000000-0005-0000-0000-0000B3000000}"/>
    <cellStyle name="Normal 27 2" xfId="381" xr:uid="{00000000-0005-0000-0000-0000B3000000}"/>
    <cellStyle name="Normal 28" xfId="337" xr:uid="{00000000-0005-0000-0000-0000B4000000}"/>
    <cellStyle name="Normal 28 2" xfId="386" xr:uid="{00000000-0005-0000-0000-0000B4000000}"/>
    <cellStyle name="Normal 29" xfId="309" xr:uid="{00000000-0005-0000-0000-0000B5000000}"/>
    <cellStyle name="Normal 29 2" xfId="362" xr:uid="{00000000-0005-0000-0000-0000B5000000}"/>
    <cellStyle name="Normal 3" xfId="91" xr:uid="{00000000-0005-0000-0000-0000B6000000}"/>
    <cellStyle name="Normal 3 2" xfId="92" xr:uid="{00000000-0005-0000-0000-0000B7000000}"/>
    <cellStyle name="Normal 30" xfId="326" xr:uid="{00000000-0005-0000-0000-0000B8000000}"/>
    <cellStyle name="Normal 30 2" xfId="378" xr:uid="{00000000-0005-0000-0000-0000B8000000}"/>
    <cellStyle name="Normal 31" xfId="332" xr:uid="{00000000-0005-0000-0000-0000B9000000}"/>
    <cellStyle name="Normal 31 2" xfId="384" xr:uid="{00000000-0005-0000-0000-0000B9000000}"/>
    <cellStyle name="Normal 32" xfId="310" xr:uid="{00000000-0005-0000-0000-0000BA000000}"/>
    <cellStyle name="Normal 32 2" xfId="363" xr:uid="{00000000-0005-0000-0000-0000BA000000}"/>
    <cellStyle name="Normal 33" xfId="345" xr:uid="{00000000-0005-0000-0000-0000BB000000}"/>
    <cellStyle name="Normal 34" xfId="351" xr:uid="{00000000-0005-0000-0000-0000BC000000}"/>
    <cellStyle name="Normal 35" xfId="347" xr:uid="{00000000-0005-0000-0000-0000BD000000}"/>
    <cellStyle name="Normal 36" xfId="356" xr:uid="{00000000-0005-0000-0000-0000BE000000}"/>
    <cellStyle name="Normal 37" xfId="342" xr:uid="{00000000-0005-0000-0000-0000BF000000}"/>
    <cellStyle name="Normal 37 2" xfId="388" xr:uid="{00000000-0005-0000-0000-0000BF000000}"/>
    <cellStyle name="Normal 38" xfId="317" xr:uid="{00000000-0005-0000-0000-0000C0000000}"/>
    <cellStyle name="Normal 38 2" xfId="370" xr:uid="{00000000-0005-0000-0000-0000C0000000}"/>
    <cellStyle name="Normal 39" xfId="320" xr:uid="{00000000-0005-0000-0000-0000C1000000}"/>
    <cellStyle name="Normal 39 2" xfId="373" xr:uid="{00000000-0005-0000-0000-0000C1000000}"/>
    <cellStyle name="Normal 4" xfId="93" xr:uid="{00000000-0005-0000-0000-0000C2000000}"/>
    <cellStyle name="Normal 4 2" xfId="292" xr:uid="{00000000-0005-0000-0000-0000C3000000}"/>
    <cellStyle name="Normal 40" xfId="315" xr:uid="{00000000-0005-0000-0000-0000C4000000}"/>
    <cellStyle name="Normal 40 2" xfId="368" xr:uid="{00000000-0005-0000-0000-0000C4000000}"/>
    <cellStyle name="Normal 41" xfId="327" xr:uid="{00000000-0005-0000-0000-0000C5000000}"/>
    <cellStyle name="Normal 41 2" xfId="379" xr:uid="{00000000-0005-0000-0000-0000C5000000}"/>
    <cellStyle name="Normal 42" xfId="358" xr:uid="{00000000-0005-0000-0000-0000C6000000}"/>
    <cellStyle name="Normal 42 2" xfId="391" xr:uid="{00000000-0005-0000-0000-0000C6000000}"/>
    <cellStyle name="Normal 43" xfId="336" xr:uid="{00000000-0005-0000-0000-0000C7000000}"/>
    <cellStyle name="Normal 43 2" xfId="385" xr:uid="{00000000-0005-0000-0000-0000C7000000}"/>
    <cellStyle name="Normal 44" xfId="325" xr:uid="{00000000-0005-0000-0000-0000C8000000}"/>
    <cellStyle name="Normal 44 2" xfId="377" xr:uid="{00000000-0005-0000-0000-0000C8000000}"/>
    <cellStyle name="Normal 45" xfId="324" xr:uid="{00000000-0005-0000-0000-0000C9000000}"/>
    <cellStyle name="Normal 45 2" xfId="376" xr:uid="{00000000-0005-0000-0000-0000C9000000}"/>
    <cellStyle name="Normal 46" xfId="313" xr:uid="{00000000-0005-0000-0000-0000CA000000}"/>
    <cellStyle name="Normal 46 2" xfId="366" xr:uid="{00000000-0005-0000-0000-0000CA000000}"/>
    <cellStyle name="Normal 47" xfId="311" xr:uid="{00000000-0005-0000-0000-0000CB000000}"/>
    <cellStyle name="Normal 47 2" xfId="364" xr:uid="{00000000-0005-0000-0000-0000CB000000}"/>
    <cellStyle name="Normal 5" xfId="94" xr:uid="{00000000-0005-0000-0000-0000CC000000}"/>
    <cellStyle name="Normal 6" xfId="95" xr:uid="{00000000-0005-0000-0000-0000CD000000}"/>
    <cellStyle name="Normal 7" xfId="146" xr:uid="{00000000-0005-0000-0000-0000CE000000}"/>
    <cellStyle name="Normal 7 2" xfId="302" xr:uid="{00000000-0005-0000-0000-0000CF000000}"/>
    <cellStyle name="Normal 8" xfId="258" xr:uid="{00000000-0005-0000-0000-0000D0000000}"/>
    <cellStyle name="Normal 9" xfId="268" xr:uid="{00000000-0005-0000-0000-0000D1000000}"/>
    <cellStyle name="Normale_9639A02C" xfId="96" xr:uid="{00000000-0005-0000-0000-0000D6000000}"/>
    <cellStyle name="OSIM" xfId="97" xr:uid="{00000000-0005-0000-0000-0000D7000000}"/>
    <cellStyle name="OSIM 2" xfId="98" xr:uid="{00000000-0005-0000-0000-0000D8000000}"/>
    <cellStyle name="Percent [2]" xfId="99" xr:uid="{00000000-0005-0000-0000-0000DA000000}"/>
    <cellStyle name="Percent [2] 2" xfId="100" xr:uid="{00000000-0005-0000-0000-0000DB000000}"/>
    <cellStyle name="Percent 10" xfId="352" xr:uid="{00000000-0005-0000-0000-0000DC000000}"/>
    <cellStyle name="Percent 11" xfId="353" xr:uid="{00000000-0005-0000-0000-0000DD000000}"/>
    <cellStyle name="Percent 12" xfId="349" xr:uid="{00000000-0005-0000-0000-0000DE000000}"/>
    <cellStyle name="Percent 13" xfId="354" xr:uid="{00000000-0005-0000-0000-0000DF000000}"/>
    <cellStyle name="Percent 2" xfId="4" xr:uid="{00000000-0005-0000-0000-000034000000}"/>
    <cellStyle name="Percent 2 2" xfId="101" xr:uid="{00000000-0005-0000-0000-0000E0000000}"/>
    <cellStyle name="Percent 3" xfId="102" xr:uid="{00000000-0005-0000-0000-0000E1000000}"/>
    <cellStyle name="Percent 4" xfId="294" xr:uid="{00000000-0005-0000-0000-0000E2000000}"/>
    <cellStyle name="Percent 4 2" xfId="295" xr:uid="{00000000-0005-0000-0000-0000E3000000}"/>
    <cellStyle name="Percent 5" xfId="296" xr:uid="{00000000-0005-0000-0000-0000E4000000}"/>
    <cellStyle name="Percent 5 2" xfId="297" xr:uid="{00000000-0005-0000-0000-0000E5000000}"/>
    <cellStyle name="Percent 6" xfId="298" xr:uid="{00000000-0005-0000-0000-0000E6000000}"/>
    <cellStyle name="Percent 7" xfId="293" xr:uid="{00000000-0005-0000-0000-0000E7000000}"/>
    <cellStyle name="Percent 7 2" xfId="338" xr:uid="{00000000-0005-0000-0000-0000E8000000}"/>
    <cellStyle name="Percent 8" xfId="272" xr:uid="{00000000-0005-0000-0000-0000E9000000}"/>
    <cellStyle name="Percent 8 2" xfId="335" xr:uid="{00000000-0005-0000-0000-0000EA000000}"/>
    <cellStyle name="Percent 9" xfId="322" xr:uid="{00000000-0005-0000-0000-0000EB000000}"/>
    <cellStyle name="PERCENTAGE" xfId="174" xr:uid="{00000000-0005-0000-0000-0000EC000000}"/>
    <cellStyle name="PLAN" xfId="103" xr:uid="{00000000-0005-0000-0000-0000ED000000}"/>
    <cellStyle name="Protect" xfId="104" xr:uid="{00000000-0005-0000-0000-0000EE000000}"/>
    <cellStyle name="Q" xfId="105" xr:uid="{00000000-0005-0000-0000-0000EF000000}"/>
    <cellStyle name="Q 2" xfId="106" xr:uid="{00000000-0005-0000-0000-0000F0000000}"/>
    <cellStyle name="Q_Analyse 04-07" xfId="175" xr:uid="{00000000-0005-0000-0000-0000F1000000}"/>
    <cellStyle name="Q_Analyse Q306" xfId="176" xr:uid="{00000000-0005-0000-0000-0000F2000000}"/>
    <cellStyle name="Q_Analyse Q306_Variance TPC_PL" xfId="177" xr:uid="{00000000-0005-0000-0000-0000F3000000}"/>
    <cellStyle name="Q_analyse0406" xfId="178" xr:uid="{00000000-0005-0000-0000-0000F4000000}"/>
    <cellStyle name="Q_analysis" xfId="179" xr:uid="{00000000-0005-0000-0000-0000F5000000}"/>
    <cellStyle name="Q_Book2" xfId="180" xr:uid="{00000000-0005-0000-0000-0000F6000000}"/>
    <cellStyle name="Q_Depre" xfId="181" xr:uid="{00000000-0005-0000-0000-0000F7000000}"/>
    <cellStyle name="Q_Edited Pages 2 and 23.1" xfId="182" xr:uid="{00000000-0005-0000-0000-0000F8000000}"/>
    <cellStyle name="Q_FS_SCC Analysis Q1-07 value" xfId="183" xr:uid="{00000000-0005-0000-0000-0000F9000000}"/>
    <cellStyle name="Q_FS_SCC Analysis Q2-06 Value" xfId="184" xr:uid="{00000000-0005-0000-0000-0000FA000000}"/>
    <cellStyle name="Q_FS_SCC Analysis Q3-06 value" xfId="185" xr:uid="{00000000-0005-0000-0000-0000FB000000}"/>
    <cellStyle name="Q_FS_SCC Analysis Q4-06 Value" xfId="186" xr:uid="{00000000-0005-0000-0000-0000FC000000}"/>
    <cellStyle name="Q_FS_SCC Analysis Value" xfId="187" xr:uid="{00000000-0005-0000-0000-0000FD000000}"/>
    <cellStyle name="Q_FS_SCC Analysis_Value" xfId="188" xr:uid="{00000000-0005-0000-0000-0000FE000000}"/>
    <cellStyle name="Q_mY_Conso_Slip" xfId="189" xr:uid="{00000000-0005-0000-0000-0000FF000000}"/>
    <cellStyle name="Q_mY_Internal Memo" xfId="190" xr:uid="{00000000-0005-0000-0000-000000010000}"/>
    <cellStyle name="Q_norestate" xfId="191" xr:uid="{00000000-0005-0000-0000-000001010000}"/>
    <cellStyle name="Q_q106thai_new" xfId="192" xr:uid="{00000000-0005-0000-0000-000002010000}"/>
    <cellStyle name="Q_q206thai_new" xfId="193" xr:uid="{00000000-0005-0000-0000-000003010000}"/>
    <cellStyle name="Q_q306thai_new" xfId="194" xr:uid="{00000000-0005-0000-0000-000004010000}"/>
    <cellStyle name="Q_q405thai_new" xfId="195" xr:uid="{00000000-0005-0000-0000-000005010000}"/>
    <cellStyle name="Q_Ratio-งบรวม" xfId="196" xr:uid="{00000000-0005-0000-0000-000006010000}"/>
    <cellStyle name="Q_Related Parties as of Aug-10_from CAD" xfId="197" xr:uid="{00000000-0005-0000-0000-000007010000}"/>
    <cellStyle name="Q_SCG Conso Q3-06 Unreviewed # 1 Edited" xfId="198" xr:uid="{00000000-0005-0000-0000-000008010000}"/>
    <cellStyle name="Q_segment" xfId="199" xr:uid="{00000000-0005-0000-0000-000009010000}"/>
    <cellStyle name="Q_segment_nonre" xfId="200" xr:uid="{00000000-0005-0000-0000-00000A010000}"/>
    <cellStyle name="QTR94_95_INCOME CTMP#1 98" xfId="266" xr:uid="{00000000-0005-0000-0000-00000B010000}"/>
    <cellStyle name="Quantity" xfId="107" xr:uid="{00000000-0005-0000-0000-00000C010000}"/>
    <cellStyle name="Quantity 2" xfId="108" xr:uid="{00000000-0005-0000-0000-00000D010000}"/>
    <cellStyle name="SAPBEXaggItemX" xfId="201" xr:uid="{00000000-0005-0000-0000-00000E010000}"/>
    <cellStyle name="SAPBEXchaText" xfId="109" xr:uid="{00000000-0005-0000-0000-00000F010000}"/>
    <cellStyle name="SAPBEXchaText 2" xfId="110" xr:uid="{00000000-0005-0000-0000-000010010000}"/>
    <cellStyle name="SAPBEXstdData" xfId="111" xr:uid="{00000000-0005-0000-0000-000011010000}"/>
    <cellStyle name="SAPBEXstdItem" xfId="112" xr:uid="{00000000-0005-0000-0000-000012010000}"/>
    <cellStyle name="SAPBEXstdItem 2" xfId="113" xr:uid="{00000000-0005-0000-0000-000013010000}"/>
    <cellStyle name="SAPBEXstdItemX" xfId="114" xr:uid="{00000000-0005-0000-0000-000014010000}"/>
    <cellStyle name="SAPBEXstdItemX 2" xfId="115" xr:uid="{00000000-0005-0000-0000-000015010000}"/>
    <cellStyle name="Scientific" xfId="116" xr:uid="{00000000-0005-0000-0000-000016010000}"/>
    <cellStyle name="Scientific 2" xfId="117" xr:uid="{00000000-0005-0000-0000-000017010000}"/>
    <cellStyle name="small border line" xfId="118" xr:uid="{00000000-0005-0000-0000-000018010000}"/>
    <cellStyle name="small border line 2" xfId="119" xr:uid="{00000000-0005-0000-0000-000019010000}"/>
    <cellStyle name="Table" xfId="120" xr:uid="{00000000-0005-0000-0000-00001A010000}"/>
    <cellStyle name="Text" xfId="121" xr:uid="{00000000-0005-0000-0000-00001B010000}"/>
    <cellStyle name="Total 2" xfId="122" xr:uid="{00000000-0005-0000-0000-00001C010000}"/>
    <cellStyle name="Total 3" xfId="123" xr:uid="{00000000-0005-0000-0000-00001D010000}"/>
    <cellStyle name="TU" xfId="124" xr:uid="{00000000-0005-0000-0000-00001E010000}"/>
    <cellStyle name="Tusental_A-listan (fixad)" xfId="125" xr:uid="{00000000-0005-0000-0000-00001F010000}"/>
    <cellStyle name="Valuta (0)" xfId="202" xr:uid="{00000000-0005-0000-0000-000020010000}"/>
    <cellStyle name="Valuta_NPV" xfId="126" xr:uid="{00000000-0005-0000-0000-000021010000}"/>
    <cellStyle name="W" xfId="127" xr:uid="{00000000-0005-0000-0000-000022010000}"/>
    <cellStyle name="W 2" xfId="128" xr:uid="{00000000-0005-0000-0000-000023010000}"/>
    <cellStyle name="W_Analyse 04-07" xfId="203" xr:uid="{00000000-0005-0000-0000-000024010000}"/>
    <cellStyle name="W_Analyse Q306" xfId="204" xr:uid="{00000000-0005-0000-0000-000025010000}"/>
    <cellStyle name="W_Analyse Q306_Variance TPC_PL" xfId="205" xr:uid="{00000000-0005-0000-0000-000026010000}"/>
    <cellStyle name="W_analyse0406" xfId="206" xr:uid="{00000000-0005-0000-0000-000027010000}"/>
    <cellStyle name="W_analysis" xfId="207" xr:uid="{00000000-0005-0000-0000-000028010000}"/>
    <cellStyle name="W_Book2" xfId="208" xr:uid="{00000000-0005-0000-0000-000029010000}"/>
    <cellStyle name="W_Depre" xfId="209" xr:uid="{00000000-0005-0000-0000-00002A010000}"/>
    <cellStyle name="W_Edited Pages 2 and 23.1" xfId="210" xr:uid="{00000000-0005-0000-0000-00002B010000}"/>
    <cellStyle name="W_FS_SCC Analysis Q1-07 value" xfId="211" xr:uid="{00000000-0005-0000-0000-00002C010000}"/>
    <cellStyle name="W_FS_SCC Analysis Q2-06 Value" xfId="212" xr:uid="{00000000-0005-0000-0000-00002D010000}"/>
    <cellStyle name="W_FS_SCC Analysis Q3-06 value" xfId="213" xr:uid="{00000000-0005-0000-0000-00002E010000}"/>
    <cellStyle name="W_FS_SCC Analysis Q4-06 Value" xfId="214" xr:uid="{00000000-0005-0000-0000-00002F010000}"/>
    <cellStyle name="W_FS_SCC Analysis Value" xfId="215" xr:uid="{00000000-0005-0000-0000-000030010000}"/>
    <cellStyle name="W_FS_SCC Analysis_Value" xfId="216" xr:uid="{00000000-0005-0000-0000-000031010000}"/>
    <cellStyle name="W_mY_Conso_Slip" xfId="217" xr:uid="{00000000-0005-0000-0000-000032010000}"/>
    <cellStyle name="W_mY_Internal Memo" xfId="218" xr:uid="{00000000-0005-0000-0000-000033010000}"/>
    <cellStyle name="W_norestate" xfId="219" xr:uid="{00000000-0005-0000-0000-000034010000}"/>
    <cellStyle name="W_q106thai_new" xfId="220" xr:uid="{00000000-0005-0000-0000-000035010000}"/>
    <cellStyle name="W_q206thai_new" xfId="221" xr:uid="{00000000-0005-0000-0000-000036010000}"/>
    <cellStyle name="W_q306thai_new" xfId="222" xr:uid="{00000000-0005-0000-0000-000037010000}"/>
    <cellStyle name="W_q405thai_new" xfId="223" xr:uid="{00000000-0005-0000-0000-000038010000}"/>
    <cellStyle name="W_Ratio-งบรวม" xfId="224" xr:uid="{00000000-0005-0000-0000-000039010000}"/>
    <cellStyle name="W_Related Parties as of Aug-10_from CAD" xfId="225" xr:uid="{00000000-0005-0000-0000-00003A010000}"/>
    <cellStyle name="W_SCG Conso Q3-06 Unreviewed # 1 Edited" xfId="226" xr:uid="{00000000-0005-0000-0000-00003B010000}"/>
    <cellStyle name="W_segment" xfId="227" xr:uid="{00000000-0005-0000-0000-00003C010000}"/>
    <cellStyle name="W_segment_nonre" xfId="228" xr:uid="{00000000-0005-0000-0000-00003D010000}"/>
    <cellStyle name="WHead - Style2" xfId="129" xr:uid="{00000000-0005-0000-0000-00003E010000}"/>
    <cellStyle name="เครื่องหมายจุลภาค [0]_AUTO2000" xfId="232" xr:uid="{00000000-0005-0000-0000-000042010000}"/>
    <cellStyle name="เครื่องหมายจุลภาค_AUTO2000" xfId="233" xr:uid="{00000000-0005-0000-0000-000043010000}"/>
    <cellStyle name="เครื่องหมายสกุลเงิน [0]_AUTO2000" xfId="234" xr:uid="{00000000-0005-0000-0000-000044010000}"/>
    <cellStyle name="เครื่องหมายสกุลเงิน_AUTO2000" xfId="235" xr:uid="{00000000-0005-0000-0000-000045010000}"/>
    <cellStyle name="เชื่อมโยงหลายมิติ" xfId="237" xr:uid="{00000000-0005-0000-0000-000047010000}"/>
    <cellStyle name="เซลล์ตรวจสอบ" xfId="238" xr:uid="{00000000-0005-0000-0000-000048010000}"/>
    <cellStyle name="เซลล์ที่มีการเชื่อมโยง" xfId="239" xr:uid="{00000000-0005-0000-0000-000049010000}"/>
    <cellStyle name="แย่" xfId="245" xr:uid="{00000000-0005-0000-0000-000051010000}"/>
    <cellStyle name="แสดงผล" xfId="252" xr:uid="{00000000-0005-0000-0000-00005D010000}"/>
    <cellStyle name="การคำนวณ" xfId="229" xr:uid="{00000000-0005-0000-0000-00003F010000}"/>
    <cellStyle name="ข้อความเตือน" xfId="230" xr:uid="{00000000-0005-0000-0000-000040010000}"/>
    <cellStyle name="ข้อความอธิบาย" xfId="231" xr:uid="{00000000-0005-0000-0000-000041010000}"/>
    <cellStyle name="ชื่อเรื่อง" xfId="236" xr:uid="{00000000-0005-0000-0000-000046010000}"/>
    <cellStyle name="ดี" xfId="240" xr:uid="{00000000-0005-0000-0000-00004A010000}"/>
    <cellStyle name="ตามการเชื่อมโยงหลายมิติ_Other" xfId="130" xr:uid="{00000000-0005-0000-0000-00004B010000}"/>
    <cellStyle name="น้บะภฒ_95" xfId="131" xr:uid="{00000000-0005-0000-0000-00004C010000}"/>
    <cellStyle name="ปกติ_AUTO2000" xfId="241" xr:uid="{00000000-0005-0000-0000-00004D010000}"/>
    <cellStyle name="ป้อนค่า" xfId="242" xr:uid="{00000000-0005-0000-0000-00004E010000}"/>
    <cellStyle name="ปานกลาง" xfId="243" xr:uid="{00000000-0005-0000-0000-00004F010000}"/>
    <cellStyle name="ผลรวม" xfId="244" xr:uid="{00000000-0005-0000-0000-000050010000}"/>
    <cellStyle name="ฤธถ [0]_95" xfId="132" xr:uid="{00000000-0005-0000-0000-000052010000}"/>
    <cellStyle name="ฤธถ_95" xfId="133" xr:uid="{00000000-0005-0000-0000-000053010000}"/>
    <cellStyle name="ล๋ศญ [0]_95" xfId="134" xr:uid="{00000000-0005-0000-0000-000054010000}"/>
    <cellStyle name="ล๋ศญ_95" xfId="135" xr:uid="{00000000-0005-0000-0000-000055010000}"/>
    <cellStyle name="วฅมุ_4ฟ๙ฝวภ๛" xfId="136" xr:uid="{00000000-0005-0000-0000-000056010000}"/>
    <cellStyle name="ส่วนที่ถูกเน้น1" xfId="246" xr:uid="{00000000-0005-0000-0000-000057010000}"/>
    <cellStyle name="ส่วนที่ถูกเน้น2" xfId="247" xr:uid="{00000000-0005-0000-0000-000058010000}"/>
    <cellStyle name="ส่วนที่ถูกเน้น3" xfId="248" xr:uid="{00000000-0005-0000-0000-000059010000}"/>
    <cellStyle name="ส่วนที่ถูกเน้น4" xfId="249" xr:uid="{00000000-0005-0000-0000-00005A010000}"/>
    <cellStyle name="ส่วนที่ถูกเน้น5" xfId="250" xr:uid="{00000000-0005-0000-0000-00005B010000}"/>
    <cellStyle name="ส่วนที่ถูกเน้น6" xfId="251" xr:uid="{00000000-0005-0000-0000-00005C010000}"/>
    <cellStyle name="หมายเหตุ" xfId="253" xr:uid="{00000000-0005-0000-0000-00005E010000}"/>
    <cellStyle name="หัวเรื่อง 1" xfId="254" xr:uid="{00000000-0005-0000-0000-00005F010000}"/>
    <cellStyle name="หัวเรื่อง 2" xfId="255" xr:uid="{00000000-0005-0000-0000-000060010000}"/>
    <cellStyle name="หัวเรื่อง 3" xfId="256" xr:uid="{00000000-0005-0000-0000-000061010000}"/>
    <cellStyle name="หัวเรื่อง 4" xfId="257" xr:uid="{00000000-0005-0000-0000-000062010000}"/>
    <cellStyle name="콤마 [0]_VERA" xfId="137" xr:uid="{00000000-0005-0000-0000-000063010000}"/>
    <cellStyle name="콤마_VERA" xfId="138" xr:uid="{00000000-0005-0000-0000-000064010000}"/>
    <cellStyle name="표준_VERA" xfId="139" xr:uid="{00000000-0005-0000-0000-000065010000}"/>
    <cellStyle name="桁区切り [0.00]_VERA" xfId="140" xr:uid="{00000000-0005-0000-0000-000066010000}"/>
    <cellStyle name="桁区切り_VERA" xfId="141" xr:uid="{00000000-0005-0000-0000-000067010000}"/>
    <cellStyle name="標準_ProdPlan2002Rev7.0" xfId="142" xr:uid="{00000000-0005-0000-0000-000068010000}"/>
    <cellStyle name="通貨 [0.00]_TMMA_ProdPlan2000" xfId="143" xr:uid="{00000000-0005-0000-0000-000069010000}"/>
    <cellStyle name="通貨_TMMA_ProdPlan2000" xfId="144" xr:uid="{00000000-0005-0000-0000-00006A010000}"/>
  </cellStyles>
  <dxfs count="0"/>
  <tableStyles count="0" defaultTableStyle="TableStyleMedium2" defaultPivotStyle="PivotStyleLight16"/>
  <colors>
    <mruColors>
      <color rgb="FF66FF33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&amp;Account\01TMMA\2026\Budget\Budget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inance&amp;Account\01TMMA\2026\Estimate\Est_W1\0226\Estimate_0226_W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T"/>
      <sheetName val="SP-Q"/>
      <sheetName val="SP-Q summary"/>
      <sheetName val="SP-P"/>
      <sheetName val="SP-P summary"/>
      <sheetName val="SP_MB"/>
      <sheetName val="MKT"/>
      <sheetName val="MKT_MB"/>
      <sheetName val="NetSale_MB"/>
      <sheetName val="BS"/>
      <sheetName val="INT"/>
      <sheetName val="CF"/>
      <sheetName val="ST"/>
      <sheetName val="Profit Prediction"/>
      <sheetName val="FC"/>
      <sheetName val="GA"/>
      <sheetName val="ACT"/>
      <sheetName val="STD"/>
      <sheetName val="RM"/>
      <sheetName val="PP"/>
      <sheetName val="MT"/>
      <sheetName val="PS by Product"/>
      <sheetName val="PS by Biz"/>
      <sheetName val="PS_summary"/>
      <sheetName val="PS_MMA_MAA"/>
      <sheetName val="PS-SpMA"/>
      <sheetName val="PS-PMMA"/>
      <sheetName val="PS"/>
      <sheetName val="PS_monomer"/>
      <sheetName val="PS-Total MMA"/>
      <sheetName val="PS-MMA#1"/>
      <sheetName val="PS-MMA#2"/>
      <sheetName val="PS-Total BMA"/>
      <sheetName val="PS-Total BMA(n+n2)"/>
      <sheetName val="PS-n-BMA"/>
      <sheetName val="PS-n-BMA#2"/>
      <sheetName val="PS-i-BMA"/>
      <sheetName val="PS-SHEET"/>
      <sheetName val="PS-SHEET-TD"/>
      <sheetName val="PS-Total MAA"/>
      <sheetName val="PS-MAA"/>
      <sheetName val="PS-MAA#2"/>
      <sheetName val="PS-MAA#3"/>
      <sheetName val="PS-TBA"/>
      <sheetName val="PS-TG"/>
      <sheetName val="VC-CMAA#1-NO"/>
      <sheetName val="VC-MMA#1-NO"/>
      <sheetName val="VC-CMAA#2-NO"/>
      <sheetName val="VC-MMA#2-NO"/>
      <sheetName val="PS-TG monomer"/>
      <sheetName val="PS-TG MMA"/>
      <sheetName val="PS-TG BMA"/>
      <sheetName val="PS-TG sheet"/>
      <sheetName val="VC-MMA#1"/>
      <sheetName val="VC-MMA#2"/>
      <sheetName val="VC-MAA"/>
      <sheetName val="VC-MAA#2"/>
      <sheetName val="VC-MAA#3"/>
      <sheetName val="VC-n-BMA"/>
      <sheetName val="VC-n-BMA#2"/>
      <sheetName val="VC-i-BMA"/>
      <sheetName val="VC-All SHEET"/>
      <sheetName val="VC-SHEET (LX)"/>
      <sheetName val="VC-SHEET (DX)"/>
      <sheetName val="VC-SHEET (PX)"/>
      <sheetName val="VC-SHEET (Lgrade)"/>
      <sheetName val="VC-SHEET (EX)"/>
      <sheetName val="VC-SHEET (TD)"/>
      <sheetName val="VC-SHEET (xxx)"/>
      <sheetName val="CS by Product"/>
      <sheetName val="NetCon(IR)"/>
      <sheetName val="CS-Total TBA"/>
      <sheetName val="CS-TBA#1&amp;2"/>
      <sheetName val="CS-TBA#1"/>
      <sheetName val="CS-TBA#2"/>
      <sheetName val="CS-TBA#3"/>
      <sheetName val="CS-Total CMAA"/>
      <sheetName val="CS-CMAA#1"/>
      <sheetName val="CS-CMAA#2"/>
      <sheetName val="CS-Total MMA"/>
      <sheetName val="CS-MMA#1"/>
      <sheetName val="CS-MMA#2"/>
      <sheetName val="CS-MMA#1-CM"/>
      <sheetName val="CS-MMA#2-CM"/>
      <sheetName val="CS-Total MAA"/>
      <sheetName val="CS-MAA"/>
      <sheetName val="CS-MAA#2"/>
      <sheetName val="CS-MAA#3"/>
      <sheetName val="CS-Total-BMA"/>
      <sheetName val="CS-Total-BMA(n+n2)"/>
      <sheetName val="CS-n-BMA"/>
      <sheetName val="CS-i-BMA"/>
      <sheetName val="CS-MAA-CM"/>
      <sheetName val="CS-MAA#2-CM"/>
      <sheetName val="CS-n-BMA#2"/>
      <sheetName val="CS-All SHEET"/>
      <sheetName val="CS-SHEET (LX)"/>
      <sheetName val="CS-SHEET (DX)"/>
      <sheetName val="CS-SHEET (PX)"/>
      <sheetName val="CS-SHEET (L grade)"/>
      <sheetName val="CS-SHEET (xxx)"/>
      <sheetName val="CS-SHEET (TD)"/>
      <sheetName val="CS-SHEET (EX)"/>
      <sheetName val="OPA-Monthly"/>
      <sheetName val="OA_MMA#1"/>
      <sheetName val="OA_MMA#2"/>
      <sheetName val="OA_nBMA"/>
      <sheetName val="OA_nBMA#2"/>
      <sheetName val="OA_iBMA"/>
      <sheetName val="OA_CCS"/>
      <sheetName val="OA_MAA"/>
      <sheetName val="OA_MAA#2"/>
      <sheetName val="OA_MAA#3"/>
      <sheetName val="Budget_2026"/>
    </sheetNames>
    <sheetDataSet>
      <sheetData sheetId="0"/>
      <sheetData sheetId="1">
        <row r="8">
          <cell r="D8">
            <v>32.5</v>
          </cell>
        </row>
      </sheetData>
      <sheetData sheetId="2">
        <row r="9">
          <cell r="D9">
            <v>5840.7</v>
          </cell>
          <cell r="E9">
            <v>8846.7000000000007</v>
          </cell>
          <cell r="F9">
            <v>6841.326</v>
          </cell>
          <cell r="G9">
            <v>8352.7000000000007</v>
          </cell>
          <cell r="H9">
            <v>9180.0259999999998</v>
          </cell>
          <cell r="I9">
            <v>7372.4259999999995</v>
          </cell>
          <cell r="J9">
            <v>8984.0259999999998</v>
          </cell>
          <cell r="K9">
            <v>8726.0259999999998</v>
          </cell>
          <cell r="L9">
            <v>8722.2999999999993</v>
          </cell>
          <cell r="M9">
            <v>9280.7000000000007</v>
          </cell>
          <cell r="N9">
            <v>8308.2999999999993</v>
          </cell>
          <cell r="O9">
            <v>8077.7</v>
          </cell>
        </row>
        <row r="12">
          <cell r="D12">
            <v>1151</v>
          </cell>
          <cell r="E12">
            <v>1127.4000000000001</v>
          </cell>
          <cell r="F12">
            <v>1317</v>
          </cell>
          <cell r="G12">
            <v>1200.2</v>
          </cell>
          <cell r="H12">
            <v>1377.8</v>
          </cell>
          <cell r="I12">
            <v>1266.5999999999999</v>
          </cell>
          <cell r="J12">
            <v>1361</v>
          </cell>
          <cell r="K12">
            <v>1313</v>
          </cell>
          <cell r="L12">
            <v>1360.2</v>
          </cell>
          <cell r="M12">
            <v>1342.8</v>
          </cell>
          <cell r="N12">
            <v>1320.4</v>
          </cell>
          <cell r="O12">
            <v>1246.27</v>
          </cell>
        </row>
        <row r="13">
          <cell r="D13">
            <v>404.8</v>
          </cell>
          <cell r="E13">
            <v>317.2</v>
          </cell>
          <cell r="F13">
            <v>499.2</v>
          </cell>
          <cell r="G13">
            <v>464.36</v>
          </cell>
          <cell r="H13">
            <v>617.5</v>
          </cell>
          <cell r="I13">
            <v>502</v>
          </cell>
          <cell r="J13">
            <v>598.4</v>
          </cell>
          <cell r="K13">
            <v>532</v>
          </cell>
          <cell r="L13">
            <v>608.9</v>
          </cell>
          <cell r="M13">
            <v>503.9</v>
          </cell>
          <cell r="N13">
            <v>581.28</v>
          </cell>
          <cell r="O13">
            <v>433</v>
          </cell>
        </row>
        <row r="17">
          <cell r="D17">
            <v>2671</v>
          </cell>
          <cell r="E17">
            <v>2585</v>
          </cell>
          <cell r="F17">
            <v>2666</v>
          </cell>
          <cell r="G17">
            <v>1786.4</v>
          </cell>
          <cell r="H17">
            <v>1370</v>
          </cell>
          <cell r="I17">
            <v>1484</v>
          </cell>
          <cell r="J17">
            <v>2094</v>
          </cell>
          <cell r="K17">
            <v>2097</v>
          </cell>
          <cell r="L17">
            <v>2591</v>
          </cell>
          <cell r="M17">
            <v>2591.85</v>
          </cell>
          <cell r="N17">
            <v>2073</v>
          </cell>
          <cell r="O17">
            <v>2361</v>
          </cell>
        </row>
        <row r="18">
          <cell r="D18">
            <v>180</v>
          </cell>
          <cell r="E18">
            <v>180</v>
          </cell>
          <cell r="F18">
            <v>100</v>
          </cell>
          <cell r="G18">
            <v>200</v>
          </cell>
          <cell r="H18">
            <v>200</v>
          </cell>
          <cell r="I18">
            <v>250</v>
          </cell>
          <cell r="J18">
            <v>250</v>
          </cell>
          <cell r="K18">
            <v>250</v>
          </cell>
          <cell r="L18">
            <v>250</v>
          </cell>
          <cell r="M18">
            <v>250</v>
          </cell>
          <cell r="N18">
            <v>250</v>
          </cell>
          <cell r="O18">
            <v>250</v>
          </cell>
        </row>
        <row r="19">
          <cell r="D19">
            <v>48</v>
          </cell>
          <cell r="E19">
            <v>58</v>
          </cell>
          <cell r="F19">
            <v>68</v>
          </cell>
          <cell r="G19">
            <v>66</v>
          </cell>
          <cell r="H19">
            <v>76</v>
          </cell>
          <cell r="I19">
            <v>88</v>
          </cell>
          <cell r="J19">
            <v>96</v>
          </cell>
          <cell r="K19">
            <v>86</v>
          </cell>
          <cell r="L19">
            <v>118</v>
          </cell>
          <cell r="M19">
            <v>96</v>
          </cell>
          <cell r="N19">
            <v>96</v>
          </cell>
          <cell r="O19">
            <v>63</v>
          </cell>
        </row>
        <row r="20">
          <cell r="D20">
            <v>62</v>
          </cell>
          <cell r="E20">
            <v>75</v>
          </cell>
          <cell r="F20">
            <v>45</v>
          </cell>
          <cell r="G20">
            <v>75</v>
          </cell>
          <cell r="H20">
            <v>62</v>
          </cell>
          <cell r="I20">
            <v>85</v>
          </cell>
          <cell r="J20">
            <v>65</v>
          </cell>
          <cell r="K20">
            <v>85</v>
          </cell>
          <cell r="L20">
            <v>72</v>
          </cell>
          <cell r="M20">
            <v>105</v>
          </cell>
          <cell r="N20">
            <v>65</v>
          </cell>
          <cell r="O20">
            <v>85</v>
          </cell>
        </row>
        <row r="21">
          <cell r="D21">
            <v>358</v>
          </cell>
          <cell r="E21">
            <v>378</v>
          </cell>
          <cell r="F21">
            <v>382</v>
          </cell>
          <cell r="G21">
            <v>312</v>
          </cell>
          <cell r="H21">
            <v>368</v>
          </cell>
          <cell r="I21">
            <v>420</v>
          </cell>
          <cell r="J21">
            <v>389</v>
          </cell>
          <cell r="K21">
            <v>426</v>
          </cell>
          <cell r="L21">
            <v>456</v>
          </cell>
          <cell r="M21">
            <v>456</v>
          </cell>
          <cell r="N21">
            <v>447</v>
          </cell>
          <cell r="O21">
            <v>479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U7">
            <v>32.5</v>
          </cell>
        </row>
      </sheetData>
      <sheetData sheetId="20">
        <row r="7">
          <cell r="D7">
            <v>1244.4489795918366</v>
          </cell>
        </row>
      </sheetData>
      <sheetData sheetId="21">
        <row r="14">
          <cell r="U14">
            <v>129093800</v>
          </cell>
        </row>
      </sheetData>
      <sheetData sheetId="22"/>
      <sheetData sheetId="23"/>
      <sheetData sheetId="24"/>
      <sheetData sheetId="25"/>
      <sheetData sheetId="26"/>
      <sheetData sheetId="27"/>
      <sheetData sheetId="28">
        <row r="33">
          <cell r="F33">
            <v>-8.0041073506443645</v>
          </cell>
          <cell r="G33">
            <v>-56.371988540642391</v>
          </cell>
          <cell r="H33">
            <v>15.451476552527719</v>
          </cell>
          <cell r="I33">
            <v>10.395054396427978</v>
          </cell>
          <cell r="J33">
            <v>-84.392212957896021</v>
          </cell>
          <cell r="K33">
            <v>27.919959424260362</v>
          </cell>
          <cell r="L33">
            <v>25.463043791201159</v>
          </cell>
          <cell r="M33">
            <v>58.695025053276566</v>
          </cell>
          <cell r="N33">
            <v>80.136377901245993</v>
          </cell>
          <cell r="O33">
            <v>73.025201903281229</v>
          </cell>
          <cell r="P33">
            <v>-25.20930410706255</v>
          </cell>
          <cell r="Q33">
            <v>21.38728363512821</v>
          </cell>
        </row>
        <row r="39">
          <cell r="F39">
            <v>-7.537096136457567</v>
          </cell>
          <cell r="G39">
            <v>-46.051141480169363</v>
          </cell>
          <cell r="H39">
            <v>11.020583605441262</v>
          </cell>
          <cell r="I39">
            <v>7.4144039259920307</v>
          </cell>
          <cell r="J39">
            <v>-68.620090633418783</v>
          </cell>
          <cell r="K39">
            <v>21.265059009375765</v>
          </cell>
          <cell r="L39">
            <v>19.84895013158312</v>
          </cell>
          <cell r="M39">
            <v>46.47182072279093</v>
          </cell>
          <cell r="N39">
            <v>63.836061035539878</v>
          </cell>
          <cell r="O39">
            <v>58.083475027710236</v>
          </cell>
          <cell r="P39">
            <v>-22.074059517182892</v>
          </cell>
          <cell r="Q39">
            <v>17.04817954366904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8">
          <cell r="F8"/>
        </row>
      </sheetData>
      <sheetData sheetId="75">
        <row r="8">
          <cell r="F8"/>
        </row>
      </sheetData>
      <sheetData sheetId="76">
        <row r="8">
          <cell r="F8"/>
        </row>
      </sheetData>
      <sheetData sheetId="77"/>
      <sheetData sheetId="78">
        <row r="8">
          <cell r="F8"/>
        </row>
      </sheetData>
      <sheetData sheetId="79">
        <row r="8">
          <cell r="F8"/>
        </row>
      </sheetData>
      <sheetData sheetId="80">
        <row r="15">
          <cell r="F15">
            <v>656.19376380842277</v>
          </cell>
        </row>
        <row r="30">
          <cell r="F30">
            <v>-15.087994562589911</v>
          </cell>
          <cell r="G30">
            <v>-57.186708152293797</v>
          </cell>
          <cell r="H30">
            <v>-40.308981894557064</v>
          </cell>
          <cell r="I30">
            <v>-51.644087172883694</v>
          </cell>
          <cell r="J30">
            <v>-40.627197073718193</v>
          </cell>
          <cell r="K30">
            <v>-28.770625847084933</v>
          </cell>
          <cell r="L30">
            <v>-48.719648023182629</v>
          </cell>
          <cell r="M30">
            <v>-49.66841488159212</v>
          </cell>
          <cell r="N30">
            <v>-49.706565525875533</v>
          </cell>
          <cell r="O30">
            <v>-50.340801561568689</v>
          </cell>
          <cell r="P30">
            <v>-41.438076794996945</v>
          </cell>
          <cell r="Q30">
            <v>-58.278253494310583</v>
          </cell>
          <cell r="U30">
            <v>-45.397358309936024</v>
          </cell>
        </row>
      </sheetData>
      <sheetData sheetId="81">
        <row r="8">
          <cell r="F8">
            <v>1260.3512747875352</v>
          </cell>
        </row>
      </sheetData>
      <sheetData sheetId="82">
        <row r="8">
          <cell r="F8">
            <v>1298.6439237091411</v>
          </cell>
        </row>
      </sheetData>
      <sheetData sheetId="83"/>
      <sheetData sheetId="84"/>
      <sheetData sheetId="85">
        <row r="15">
          <cell r="F15">
            <v>819.97265348857832</v>
          </cell>
        </row>
        <row r="30">
          <cell r="F30">
            <v>-133.90967117351306</v>
          </cell>
          <cell r="G30">
            <v>-135.14203577318534</v>
          </cell>
          <cell r="H30">
            <v>-130.37490657735285</v>
          </cell>
          <cell r="I30">
            <v>-124.03294368290511</v>
          </cell>
          <cell r="J30">
            <v>-107.02674777032419</v>
          </cell>
          <cell r="K30">
            <v>-111.5421315462095</v>
          </cell>
          <cell r="L30">
            <v>-120.42001187990364</v>
          </cell>
          <cell r="M30">
            <v>-120.41229815101192</v>
          </cell>
          <cell r="N30">
            <v>-128.26251493647428</v>
          </cell>
          <cell r="O30">
            <v>-128.13269464802428</v>
          </cell>
          <cell r="P30">
            <v>-121.65351864242598</v>
          </cell>
          <cell r="Q30">
            <v>-128.57739129271715</v>
          </cell>
          <cell r="U30">
            <v>-125.64059776753545</v>
          </cell>
        </row>
      </sheetData>
      <sheetData sheetId="86">
        <row r="8">
          <cell r="F8">
            <v>1467.5492125984251</v>
          </cell>
        </row>
      </sheetData>
      <sheetData sheetId="87">
        <row r="8">
          <cell r="F8">
            <v>1406.3588516746411</v>
          </cell>
        </row>
      </sheetData>
      <sheetData sheetId="88">
        <row r="8">
          <cell r="F8">
            <v>1447.6377049180328</v>
          </cell>
        </row>
      </sheetData>
      <sheetData sheetId="89">
        <row r="29">
          <cell r="F29">
            <v>-148.96210260788027</v>
          </cell>
          <cell r="G29">
            <v>-164.38026985226509</v>
          </cell>
          <cell r="H29">
            <v>-173.94921754335485</v>
          </cell>
          <cell r="I29">
            <v>-168.3026776042349</v>
          </cell>
          <cell r="J29">
            <v>-149.83284487222056</v>
          </cell>
          <cell r="K29">
            <v>-172.17127203972743</v>
          </cell>
          <cell r="L29">
            <v>-153.83056329690621</v>
          </cell>
          <cell r="M29">
            <v>-158.41042785547685</v>
          </cell>
          <cell r="N29">
            <v>-153.1991276171494</v>
          </cell>
          <cell r="O29">
            <v>-154.74960306055038</v>
          </cell>
          <cell r="P29">
            <v>-155.20903155359363</v>
          </cell>
          <cell r="Q29">
            <v>-166.09297465891959</v>
          </cell>
          <cell r="U29">
            <v>-159.65316193698348</v>
          </cell>
        </row>
      </sheetData>
      <sheetData sheetId="90"/>
      <sheetData sheetId="91">
        <row r="8">
          <cell r="F8">
            <v>0</v>
          </cell>
        </row>
      </sheetData>
      <sheetData sheetId="92">
        <row r="8">
          <cell r="F8">
            <v>1737.7653162055335</v>
          </cell>
        </row>
      </sheetData>
      <sheetData sheetId="93"/>
      <sheetData sheetId="94"/>
      <sheetData sheetId="95">
        <row r="8">
          <cell r="F8">
            <v>1648.1017723718508</v>
          </cell>
        </row>
      </sheetData>
      <sheetData sheetId="96">
        <row r="8">
          <cell r="F8">
            <v>2955.9876543209875</v>
          </cell>
        </row>
      </sheetData>
      <sheetData sheetId="97">
        <row r="8">
          <cell r="F8">
            <v>2430</v>
          </cell>
        </row>
      </sheetData>
      <sheetData sheetId="98">
        <row r="8">
          <cell r="F8">
            <v>2940</v>
          </cell>
        </row>
      </sheetData>
      <sheetData sheetId="99">
        <row r="8">
          <cell r="F8">
            <v>3889.6774193548385</v>
          </cell>
        </row>
      </sheetData>
      <sheetData sheetId="100">
        <row r="8">
          <cell r="F8">
            <v>3060.8938547486032</v>
          </cell>
        </row>
      </sheetData>
      <sheetData sheetId="101"/>
      <sheetData sheetId="102"/>
      <sheetData sheetId="103">
        <row r="8">
          <cell r="F8">
            <v>0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T"/>
      <sheetName val="SP-Q"/>
      <sheetName val="SP-Q summary"/>
      <sheetName val="SP-P"/>
      <sheetName val="SP-P summary"/>
      <sheetName val="SP_MB"/>
      <sheetName val="MKT"/>
      <sheetName val="MKT_MB"/>
      <sheetName val="NetSale_MB"/>
      <sheetName val="BS"/>
      <sheetName val="INT"/>
      <sheetName val="CF"/>
      <sheetName val="ST"/>
      <sheetName val="Profit Prediction"/>
      <sheetName val="FC"/>
      <sheetName val="GA"/>
      <sheetName val="ACT"/>
      <sheetName val="STD"/>
      <sheetName val="RM"/>
      <sheetName val="PP"/>
      <sheetName val="MT"/>
      <sheetName val="PS by Product"/>
      <sheetName val="PS by Biz"/>
      <sheetName val="PS_summary"/>
      <sheetName val="PS_MMA_MAA"/>
      <sheetName val="PS-SpMA"/>
      <sheetName val="PS-PMMA"/>
      <sheetName val="PS"/>
      <sheetName val="PS_monomer"/>
      <sheetName val="PS-Total MMA"/>
      <sheetName val="PS-MMA#1"/>
      <sheetName val="PS-MMA#2"/>
      <sheetName val="PS-Total BMA"/>
      <sheetName val="PS-Total BMA(n+n2)"/>
      <sheetName val="PS-n-BMA"/>
      <sheetName val="PS-n-BMA#2"/>
      <sheetName val="PS-i-BMA"/>
      <sheetName val="PS-SHEET"/>
      <sheetName val="PS-SHEET-TD"/>
      <sheetName val="PS-Total MAA"/>
      <sheetName val="PS-MAA"/>
      <sheetName val="PS-MAA#2"/>
      <sheetName val="PS-MAA#3"/>
      <sheetName val="PS-TBA"/>
      <sheetName val="PS-TG"/>
      <sheetName val="VC-CMAA#1-NO"/>
      <sheetName val="VC-MMA#1-NO"/>
      <sheetName val="VC-CMAA#2-NO"/>
      <sheetName val="VC-MMA#2-NO"/>
      <sheetName val="PS-TG monomer"/>
      <sheetName val="PS-TG MMA"/>
      <sheetName val="PS-TG BMA"/>
      <sheetName val="PS-TG sheet"/>
      <sheetName val="VC-MMA#1"/>
      <sheetName val="VC-MMA#2"/>
      <sheetName val="VC-MAA"/>
      <sheetName val="VC-MAA#2"/>
      <sheetName val="VC-MAA#3"/>
      <sheetName val="VC-n-BMA"/>
      <sheetName val="VC-n-BMA#2"/>
      <sheetName val="VC-i-BMA"/>
      <sheetName val="VC-All SHEET"/>
      <sheetName val="VC-SHEET (LX)"/>
      <sheetName val="VC-SHEET (DX)"/>
      <sheetName val="VC-SHEET (PX)"/>
      <sheetName val="VC-SHEET (Lgrade)"/>
      <sheetName val="VC-SHEET (EX)"/>
      <sheetName val="VC-SHEET (TD)"/>
      <sheetName val="VC-SHEET (xxx)"/>
      <sheetName val="NetCon(IR)"/>
      <sheetName val="CS by Product"/>
      <sheetName val="CS-Total MMA"/>
      <sheetName val="CS-MMA#1"/>
      <sheetName val="CS-MMA#2"/>
      <sheetName val="CS-Total-BMA"/>
      <sheetName val="CS-Total-BMA(n+n2)"/>
      <sheetName val="CS-n-BMA"/>
      <sheetName val="CS-n-BMA#2"/>
      <sheetName val="CS-i-BMA"/>
      <sheetName val="CS-Total MAA"/>
      <sheetName val="CS-MAA"/>
      <sheetName val="CS-MAA#2"/>
      <sheetName val="CS-MAA#3"/>
      <sheetName val="CS-Total CMAA"/>
      <sheetName val="CS-CMAA#1"/>
      <sheetName val="CS-CMAA#2"/>
      <sheetName val="CS-Total TBA"/>
      <sheetName val="CS-TBA#1&amp;2"/>
      <sheetName val="CS-TBA#1"/>
      <sheetName val="CS-TBA#2"/>
      <sheetName val="CS-TBA#3"/>
      <sheetName val="CS-MMA#1-CM"/>
      <sheetName val="CS-MMA#2-CM"/>
      <sheetName val="CS-MAA-CM"/>
      <sheetName val="CS-MAA#2-CM"/>
      <sheetName val="CS-All SHEET"/>
      <sheetName val="CS-SHEET (LX)"/>
      <sheetName val="CS-SHEET (DX)"/>
      <sheetName val="CS-SHEET (PX)"/>
      <sheetName val="CS-SHEET (L grade)"/>
      <sheetName val="CS-SHEET (xxx)"/>
      <sheetName val="CS-SHEET (TD)"/>
      <sheetName val="CS-SHEET (EX)"/>
      <sheetName val="OPA-Monthly"/>
      <sheetName val="OA_MMA#1"/>
      <sheetName val="OA_MMA#2"/>
      <sheetName val="OA_nBMA"/>
      <sheetName val="OA_nBMA#2"/>
      <sheetName val="OA_iBMA"/>
      <sheetName val="OA_CCS"/>
      <sheetName val="OA_MAA"/>
      <sheetName val="OA_MAA#2"/>
      <sheetName val="OA_MAA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>
        <row r="15">
          <cell r="F15">
            <v>673.56005250083115</v>
          </cell>
        </row>
        <row r="30">
          <cell r="U30">
            <v>-47.363764672832865</v>
          </cell>
        </row>
      </sheetData>
      <sheetData sheetId="73" refreshError="1"/>
      <sheetData sheetId="74" refreshError="1"/>
      <sheetData sheetId="75" refreshError="1"/>
      <sheetData sheetId="76" refreshError="1">
        <row r="15">
          <cell r="F15">
            <v>450.46993637711239</v>
          </cell>
          <cell r="G15">
            <v>457.2929860694353</v>
          </cell>
          <cell r="H15">
            <v>353.43852888929837</v>
          </cell>
          <cell r="I15">
            <v>404.18683268977816</v>
          </cell>
          <cell r="J15">
            <v>401.57255860903797</v>
          </cell>
          <cell r="K15">
            <v>416.65041243477845</v>
          </cell>
          <cell r="L15">
            <v>483.79157113614292</v>
          </cell>
          <cell r="M15">
            <v>460.09334463625896</v>
          </cell>
          <cell r="N15">
            <v>460.77884294609794</v>
          </cell>
          <cell r="O15">
            <v>508.49771598040593</v>
          </cell>
          <cell r="P15">
            <v>518.5197565799881</v>
          </cell>
          <cell r="Q15">
            <v>519.13636857286383</v>
          </cell>
          <cell r="U15">
            <v>447.87506514853953</v>
          </cell>
        </row>
        <row r="27">
          <cell r="F27">
            <v>-28.199081903788542</v>
          </cell>
          <cell r="G27">
            <v>-25.424255200089128</v>
          </cell>
          <cell r="H27">
            <v>-21.819937635622409</v>
          </cell>
          <cell r="I27">
            <v>-21.367663793926081</v>
          </cell>
          <cell r="J27">
            <v>-21.330921461564515</v>
          </cell>
          <cell r="K27">
            <v>-22.319393328393804</v>
          </cell>
          <cell r="L27">
            <v>-20.85771522950068</v>
          </cell>
          <cell r="M27">
            <v>-21.507736572473814</v>
          </cell>
          <cell r="N27">
            <v>-21.440034585160298</v>
          </cell>
          <cell r="O27">
            <v>-20.599894594532664</v>
          </cell>
          <cell r="P27">
            <v>-20.86443631429999</v>
          </cell>
          <cell r="Q27">
            <v>-19.570672390687314</v>
          </cell>
          <cell r="U27">
            <v>-22.234841118997</v>
          </cell>
        </row>
        <row r="29">
          <cell r="F29">
            <v>-147.96496477795941</v>
          </cell>
          <cell r="G29">
            <v>-147.59261591912369</v>
          </cell>
          <cell r="H29">
            <v>-151.99863204384019</v>
          </cell>
          <cell r="I29">
            <v>-166.55193717286423</v>
          </cell>
          <cell r="J29">
            <v>-148.46508309254045</v>
          </cell>
          <cell r="K29">
            <v>-174.79415068852538</v>
          </cell>
          <cell r="L29">
            <v>-151.82601061567334</v>
          </cell>
          <cell r="M29">
            <v>-156.30870541303628</v>
          </cell>
          <cell r="N29">
            <v>-152.31143994431437</v>
          </cell>
          <cell r="O29">
            <v>-151.02061320495568</v>
          </cell>
          <cell r="P29">
            <v>-153.43712100857977</v>
          </cell>
          <cell r="Q29">
            <v>-160.07037886593923</v>
          </cell>
          <cell r="U29">
            <v>-154.55676441407303</v>
          </cell>
        </row>
        <row r="30">
          <cell r="F30">
            <v>-16.793593222802333</v>
          </cell>
          <cell r="G30">
            <v>-18.546810491663411</v>
          </cell>
          <cell r="H30">
            <v>-17.697230626713626</v>
          </cell>
          <cell r="I30">
            <v>-20.723409842993956</v>
          </cell>
          <cell r="J30">
            <v>-19.939877307166736</v>
          </cell>
          <cell r="K30">
            <v>-19.416005775667774</v>
          </cell>
          <cell r="L30">
            <v>-19.565538081643723</v>
          </cell>
          <cell r="M30">
            <v>-19.371915772550651</v>
          </cell>
          <cell r="N30">
            <v>-20.703679722258606</v>
          </cell>
          <cell r="O30">
            <v>-19.339943266503443</v>
          </cell>
          <cell r="P30">
            <v>-17.862976964588789</v>
          </cell>
          <cell r="Q30">
            <v>-18.7003543753282</v>
          </cell>
          <cell r="U30">
            <v>-18.979793639517027</v>
          </cell>
        </row>
        <row r="31">
          <cell r="F31">
            <v>-28.764565721410349</v>
          </cell>
          <cell r="G31">
            <v>-27.30473452830163</v>
          </cell>
          <cell r="H31">
            <v>-18.831535245997298</v>
          </cell>
          <cell r="I31">
            <v>-29.550599539786901</v>
          </cell>
          <cell r="J31">
            <v>-30.136457694467634</v>
          </cell>
          <cell r="K31">
            <v>-29.697670423433873</v>
          </cell>
          <cell r="L31">
            <v>-31.640768065141778</v>
          </cell>
          <cell r="M31">
            <v>-31.336030445855251</v>
          </cell>
          <cell r="N31">
            <v>-31.000410585041497</v>
          </cell>
          <cell r="O31">
            <v>-32.164448181364989</v>
          </cell>
          <cell r="P31">
            <v>-32.605541883499505</v>
          </cell>
          <cell r="Q31">
            <v>-32.095134841628621</v>
          </cell>
          <cell r="U31">
            <v>-29.078493059301668</v>
          </cell>
        </row>
        <row r="32">
          <cell r="F32">
            <v>-3.4851141022023717</v>
          </cell>
          <cell r="G32">
            <v>-6.1560970272861377</v>
          </cell>
          <cell r="H32">
            <v>-4.7773255860857873</v>
          </cell>
          <cell r="I32">
            <v>-2.8674438668180784</v>
          </cell>
          <cell r="J32">
            <v>-3.1245601606966011</v>
          </cell>
          <cell r="K32">
            <v>-3.1626305908621362</v>
          </cell>
          <cell r="L32">
            <v>-2.7754852241389569</v>
          </cell>
          <cell r="M32">
            <v>-2.6663104439660974</v>
          </cell>
          <cell r="N32">
            <v>-3.1873359365203884</v>
          </cell>
          <cell r="O32">
            <v>-2.9457490864457982</v>
          </cell>
          <cell r="P32">
            <v>-2.131759684633991</v>
          </cell>
          <cell r="Q32">
            <v>-2.2327852949847431</v>
          </cell>
          <cell r="U32">
            <v>-3.4749000333457754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U33">
            <v>0</v>
          </cell>
        </row>
      </sheetData>
      <sheetData sheetId="77" refreshError="1"/>
      <sheetData sheetId="78" refreshError="1"/>
      <sheetData sheetId="79" refreshError="1"/>
      <sheetData sheetId="80" refreshError="1">
        <row r="15">
          <cell r="F15">
            <v>760.30720635314367</v>
          </cell>
          <cell r="G15">
            <v>744.64090324194058</v>
          </cell>
          <cell r="H15">
            <v>803.35097626904633</v>
          </cell>
          <cell r="I15">
            <v>917.04068954719662</v>
          </cell>
          <cell r="J15">
            <v>891.63251159172569</v>
          </cell>
          <cell r="K15">
            <v>895.0071826398929</v>
          </cell>
          <cell r="L15">
            <v>958.91204780860721</v>
          </cell>
          <cell r="M15">
            <v>965.40875572314133</v>
          </cell>
          <cell r="N15">
            <v>984.02277603757852</v>
          </cell>
          <cell r="O15">
            <v>1031.440747793094</v>
          </cell>
          <cell r="P15">
            <v>1010.8259811516957</v>
          </cell>
          <cell r="Q15">
            <v>1015.0114652947275</v>
          </cell>
          <cell r="U15">
            <v>912.37263396291291</v>
          </cell>
        </row>
        <row r="28">
          <cell r="F28">
            <v>-29.469282848155867</v>
          </cell>
          <cell r="G28">
            <v>-28.897054728913758</v>
          </cell>
          <cell r="H28">
            <v>-37.988807062710279</v>
          </cell>
          <cell r="I28">
            <v>-37.442729684108997</v>
          </cell>
          <cell r="J28">
            <v>-27.555306007860754</v>
          </cell>
          <cell r="K28">
            <v>-24.62989840348331</v>
          </cell>
          <cell r="L28">
            <v>-40.985232532510466</v>
          </cell>
          <cell r="M28">
            <v>-41.023440079234071</v>
          </cell>
          <cell r="N28">
            <v>-52.267909628002258</v>
          </cell>
          <cell r="O28">
            <v>-52.807097989110844</v>
          </cell>
          <cell r="P28">
            <v>-40.71468329066014</v>
          </cell>
          <cell r="Q28">
            <v>-41.337112696706093</v>
          </cell>
          <cell r="U28">
            <v>-38.785337683955916</v>
          </cell>
        </row>
        <row r="30">
          <cell r="F30">
            <v>-104.63957899661418</v>
          </cell>
          <cell r="G30">
            <v>-85.18094361467908</v>
          </cell>
          <cell r="H30">
            <v>-133.69993502727246</v>
          </cell>
          <cell r="I30">
            <v>-124.03294368290511</v>
          </cell>
          <cell r="J30">
            <v>-107.02674777032419</v>
          </cell>
          <cell r="K30">
            <v>-111.5421315462095</v>
          </cell>
          <cell r="L30">
            <v>-120.42001187990364</v>
          </cell>
          <cell r="M30">
            <v>-120.41229815101192</v>
          </cell>
          <cell r="N30">
            <v>-128.26251493647428</v>
          </cell>
          <cell r="O30">
            <v>-128.13269464802428</v>
          </cell>
          <cell r="P30">
            <v>-121.65351864242598</v>
          </cell>
          <cell r="Q30">
            <v>-128.57739129271715</v>
          </cell>
          <cell r="U30">
            <v>-118.18905323852981</v>
          </cell>
        </row>
        <row r="31">
          <cell r="F31">
            <v>-15.083981980816517</v>
          </cell>
          <cell r="G31">
            <v>-34.418340747752111</v>
          </cell>
          <cell r="H31">
            <v>-31.816463453650783</v>
          </cell>
          <cell r="I31">
            <v>-30.351132918805334</v>
          </cell>
          <cell r="J31">
            <v>-18.440104997192588</v>
          </cell>
          <cell r="K31">
            <v>-22.555168981961433</v>
          </cell>
          <cell r="L31">
            <v>-36.151351847770179</v>
          </cell>
          <cell r="M31">
            <v>-35.884318623674851</v>
          </cell>
          <cell r="N31">
            <v>-41.827508832348656</v>
          </cell>
          <cell r="O31">
            <v>-43.529291373402728</v>
          </cell>
          <cell r="P31">
            <v>-37.449374002745934</v>
          </cell>
          <cell r="Q31">
            <v>-38.952849835467376</v>
          </cell>
          <cell r="U31">
            <v>-33.098283941910971</v>
          </cell>
        </row>
        <row r="32">
          <cell r="F32">
            <v>-10.774870542066607</v>
          </cell>
          <cell r="G32">
            <v>-17.035700452636167</v>
          </cell>
          <cell r="H32">
            <v>-16.159343603873324</v>
          </cell>
          <cell r="I32">
            <v>-16.397107280469076</v>
          </cell>
          <cell r="J32">
            <v>-20.59974623670913</v>
          </cell>
          <cell r="K32">
            <v>-21.30833964315724</v>
          </cell>
          <cell r="L32">
            <v>-18.961298377202649</v>
          </cell>
          <cell r="M32">
            <v>-18.884702964829259</v>
          </cell>
          <cell r="N32">
            <v>-19.977704983929112</v>
          </cell>
          <cell r="O32">
            <v>-13.616050873701816</v>
          </cell>
          <cell r="P32">
            <v>-26.538797802398687</v>
          </cell>
          <cell r="Q32">
            <v>-22.619281781788061</v>
          </cell>
          <cell r="U32">
            <v>-18.239164950685929</v>
          </cell>
        </row>
        <row r="33">
          <cell r="F33">
            <v>-3.8625928502953553</v>
          </cell>
          <cell r="G33">
            <v>-6.7230519240712026</v>
          </cell>
          <cell r="H33">
            <v>-10.514791624064868</v>
          </cell>
          <cell r="I33">
            <v>-10.447373208687861</v>
          </cell>
          <cell r="J33">
            <v>-6.6391605839416057</v>
          </cell>
          <cell r="K33">
            <v>-7.670822102425876</v>
          </cell>
          <cell r="L33">
            <v>-12.453761341929324</v>
          </cell>
          <cell r="M33">
            <v>-12.320706247019555</v>
          </cell>
          <cell r="N33">
            <v>-14.243242280972597</v>
          </cell>
          <cell r="O33">
            <v>-14.72632868414453</v>
          </cell>
          <cell r="P33">
            <v>-12.929639170284611</v>
          </cell>
          <cell r="Q33">
            <v>-13.777886488775945</v>
          </cell>
          <cell r="U33">
            <v>-10.702427467055564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U34">
            <v>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>
        <row r="15">
          <cell r="F15">
            <v>1490.5836060382437</v>
          </cell>
          <cell r="G15">
            <v>1804.5385391414347</v>
          </cell>
          <cell r="H15">
            <v>1493.923170870871</v>
          </cell>
          <cell r="I15">
            <v>1470.8025207028913</v>
          </cell>
          <cell r="J15">
            <v>1499.9385494667574</v>
          </cell>
          <cell r="K15">
            <v>1528.8775163867756</v>
          </cell>
          <cell r="L15">
            <v>1549.1843348820782</v>
          </cell>
          <cell r="M15">
            <v>1549.9304545972147</v>
          </cell>
          <cell r="N15">
            <v>1579.3405830555907</v>
          </cell>
          <cell r="O15">
            <v>1507.6601822909961</v>
          </cell>
          <cell r="P15">
            <v>1370.0432917364171</v>
          </cell>
          <cell r="Q15">
            <v>1556.3123937225528</v>
          </cell>
          <cell r="U15">
            <v>1543.178017579753</v>
          </cell>
        </row>
        <row r="35">
          <cell r="F35">
            <v>-193.34226431192249</v>
          </cell>
          <cell r="G35">
            <v>-110.65918438504683</v>
          </cell>
          <cell r="H35">
            <v>-132.2625316595157</v>
          </cell>
          <cell r="I35">
            <v>-113.07049227444321</v>
          </cell>
          <cell r="J35">
            <v>-116.55123456180239</v>
          </cell>
          <cell r="K35">
            <v>-114.68717860858189</v>
          </cell>
          <cell r="L35">
            <v>-114.01421592307473</v>
          </cell>
          <cell r="M35">
            <v>-115.82738050227795</v>
          </cell>
          <cell r="N35">
            <v>-113.229391255287</v>
          </cell>
          <cell r="O35">
            <v>-110.96285076298594</v>
          </cell>
          <cell r="P35">
            <v>-150.27580215695278</v>
          </cell>
          <cell r="Q35">
            <v>-117.01258562548644</v>
          </cell>
          <cell r="U35">
            <v>-124.48050973986716</v>
          </cell>
        </row>
        <row r="37">
          <cell r="F37">
            <v>-127.44914909803339</v>
          </cell>
          <cell r="G37">
            <v>-106.13405405405408</v>
          </cell>
          <cell r="H37">
            <v>-90.118487394957995</v>
          </cell>
          <cell r="I37">
            <v>-87.53139356814701</v>
          </cell>
          <cell r="J37">
            <v>-89.375920679886676</v>
          </cell>
          <cell r="K37">
            <v>-90.433333333333337</v>
          </cell>
          <cell r="L37">
            <v>-91.768999999999977</v>
          </cell>
          <cell r="M37">
            <v>-91.489492325855963</v>
          </cell>
          <cell r="N37">
            <v>-91.022209821428561</v>
          </cell>
          <cell r="O37">
            <v>-88.799558985667019</v>
          </cell>
          <cell r="P37">
            <v>-90.90116550116548</v>
          </cell>
          <cell r="Q37">
            <v>-91.461801596351194</v>
          </cell>
          <cell r="U37">
            <v>-94.420726789135088</v>
          </cell>
        </row>
        <row r="38">
          <cell r="F38">
            <v>-13.057216951586224</v>
          </cell>
          <cell r="G38">
            <v>-9.3070945945945951</v>
          </cell>
          <cell r="H38">
            <v>-14.344537815126051</v>
          </cell>
          <cell r="I38">
            <v>-9.7090352220520675</v>
          </cell>
          <cell r="J38">
            <v>-11.161473087818697</v>
          </cell>
          <cell r="K38">
            <v>-9.9762752075919341</v>
          </cell>
          <cell r="L38">
            <v>-11.8375</v>
          </cell>
          <cell r="M38">
            <v>-11.463990554899645</v>
          </cell>
          <cell r="N38">
            <v>-10.513392857142859</v>
          </cell>
          <cell r="O38">
            <v>-10.066152149944871</v>
          </cell>
          <cell r="P38">
            <v>-11.596736596736596</v>
          </cell>
          <cell r="Q38">
            <v>-11.071835803876853</v>
          </cell>
          <cell r="U38">
            <v>-11.10329071165196</v>
          </cell>
        </row>
        <row r="39"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U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U40">
            <v>0</v>
          </cell>
        </row>
        <row r="41">
          <cell r="F41">
            <v>0</v>
          </cell>
          <cell r="G41">
            <v>-3.4864864864864864</v>
          </cell>
          <cell r="H41">
            <v>-5.5462184873949578</v>
          </cell>
          <cell r="I41">
            <v>-3.6753445635528332</v>
          </cell>
          <cell r="J41">
            <v>-4.2492917847025495</v>
          </cell>
          <cell r="K41">
            <v>-3.7366548042704628</v>
          </cell>
          <cell r="L41">
            <v>-4.3125</v>
          </cell>
          <cell r="M41">
            <v>-4.2502951593860683</v>
          </cell>
          <cell r="N41">
            <v>-4.0178571428571432</v>
          </cell>
          <cell r="O41">
            <v>-3.9691289966923926</v>
          </cell>
          <cell r="P41">
            <v>-4.3706293706293708</v>
          </cell>
          <cell r="Q41">
            <v>-4.1049030786773093</v>
          </cell>
          <cell r="U41">
            <v>-3.8172065376587594</v>
          </cell>
        </row>
      </sheetData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CE6C-6BC0-4096-98DF-B6C59EAED7B9}">
  <dimension ref="A1:O15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9" sqref="F9"/>
    </sheetView>
  </sheetViews>
  <sheetFormatPr defaultRowHeight="14.5"/>
  <cols>
    <col min="1" max="1" width="71.08984375" customWidth="1"/>
    <col min="2" max="2" width="10" style="3" customWidth="1"/>
    <col min="3" max="3" width="35.90625" bestFit="1" customWidth="1"/>
    <col min="4" max="4" width="17.81640625" style="3" customWidth="1"/>
    <col min="5" max="5" width="3.6328125" customWidth="1"/>
    <col min="6" max="6" width="28" customWidth="1"/>
    <col min="9" max="9" width="26.81640625" bestFit="1" customWidth="1"/>
    <col min="12" max="12" width="26.81640625" bestFit="1" customWidth="1"/>
    <col min="15" max="15" width="20.1796875" customWidth="1"/>
  </cols>
  <sheetData>
    <row r="1" spans="1:15" s="6" customFormat="1" ht="36.5" customHeight="1">
      <c r="A1" s="4" t="s">
        <v>0</v>
      </c>
      <c r="B1" s="1" t="s">
        <v>1</v>
      </c>
      <c r="C1" s="4" t="s">
        <v>26</v>
      </c>
      <c r="D1" s="9" t="s">
        <v>55</v>
      </c>
      <c r="E1" s="1"/>
      <c r="F1" s="9" t="s">
        <v>27</v>
      </c>
      <c r="G1" s="1" t="s">
        <v>29</v>
      </c>
      <c r="H1" s="1" t="s">
        <v>30</v>
      </c>
      <c r="I1" s="9" t="s">
        <v>42</v>
      </c>
      <c r="J1" s="1" t="s">
        <v>29</v>
      </c>
      <c r="K1" s="1" t="s">
        <v>30</v>
      </c>
      <c r="L1" s="1" t="s">
        <v>43</v>
      </c>
      <c r="M1" s="1" t="s">
        <v>29</v>
      </c>
      <c r="N1" s="1" t="s">
        <v>30</v>
      </c>
      <c r="O1" s="5"/>
    </row>
    <row r="2" spans="1:15" s="6" customFormat="1" ht="36.5" customHeight="1">
      <c r="A2" s="7" t="s">
        <v>2</v>
      </c>
      <c r="B2" s="1" t="s">
        <v>3</v>
      </c>
      <c r="C2" s="5" t="s">
        <v>4</v>
      </c>
      <c r="D2" s="10">
        <v>50</v>
      </c>
      <c r="E2" s="5"/>
      <c r="F2" s="12" t="s">
        <v>28</v>
      </c>
      <c r="G2" s="2" t="s">
        <v>48</v>
      </c>
      <c r="H2" s="2"/>
      <c r="I2" s="15" t="s">
        <v>31</v>
      </c>
      <c r="J2" s="2"/>
      <c r="K2" s="2"/>
      <c r="L2" s="5"/>
      <c r="M2" s="5"/>
      <c r="N2" s="5"/>
      <c r="O2" s="5"/>
    </row>
    <row r="3" spans="1:15" s="6" customFormat="1" ht="36.5" customHeight="1">
      <c r="A3" s="7" t="s">
        <v>5</v>
      </c>
      <c r="B3" s="1" t="s">
        <v>6</v>
      </c>
      <c r="C3" s="5" t="s">
        <v>7</v>
      </c>
      <c r="D3" s="10">
        <v>70</v>
      </c>
      <c r="E3" s="5"/>
      <c r="F3" s="12" t="s">
        <v>49</v>
      </c>
      <c r="G3" s="2" t="s">
        <v>48</v>
      </c>
      <c r="H3" s="2"/>
      <c r="I3" s="16" t="s">
        <v>50</v>
      </c>
      <c r="J3" s="2"/>
      <c r="K3" s="2"/>
      <c r="L3" s="5"/>
      <c r="M3" s="5"/>
      <c r="N3" s="5"/>
      <c r="O3" s="5"/>
    </row>
    <row r="4" spans="1:15" s="6" customFormat="1" ht="36.5" customHeight="1">
      <c r="A4" s="7" t="s">
        <v>8</v>
      </c>
      <c r="B4" s="1" t="s">
        <v>9</v>
      </c>
      <c r="C4" s="5" t="s">
        <v>10</v>
      </c>
      <c r="D4" s="10">
        <v>20</v>
      </c>
      <c r="E4" s="5"/>
      <c r="F4" s="12" t="s">
        <v>37</v>
      </c>
      <c r="G4" s="2"/>
      <c r="H4" s="2"/>
      <c r="I4" s="12" t="s">
        <v>38</v>
      </c>
      <c r="J4" s="2">
        <v>298</v>
      </c>
      <c r="K4" s="2"/>
      <c r="L4" s="5"/>
      <c r="M4" s="5"/>
      <c r="N4" s="5"/>
      <c r="O4" s="5"/>
    </row>
    <row r="5" spans="1:15" s="6" customFormat="1" ht="36.5" customHeight="1">
      <c r="A5" s="7" t="s">
        <v>11</v>
      </c>
      <c r="B5" s="1" t="s">
        <v>12</v>
      </c>
      <c r="C5" s="5" t="s">
        <v>13</v>
      </c>
      <c r="D5" s="10">
        <v>20</v>
      </c>
      <c r="E5" s="5"/>
      <c r="F5" s="13" t="s">
        <v>39</v>
      </c>
      <c r="G5" s="2"/>
      <c r="H5" s="2"/>
      <c r="I5" s="13" t="s">
        <v>40</v>
      </c>
      <c r="J5" s="2"/>
      <c r="K5" s="2"/>
      <c r="L5" s="13" t="s">
        <v>41</v>
      </c>
      <c r="M5" s="5"/>
      <c r="N5" s="5"/>
      <c r="O5" s="5"/>
    </row>
    <row r="6" spans="1:15" s="6" customFormat="1" ht="36.5" customHeight="1">
      <c r="A6" s="8" t="s">
        <v>14</v>
      </c>
      <c r="B6" s="1" t="s">
        <v>15</v>
      </c>
      <c r="C6" s="5" t="s">
        <v>16</v>
      </c>
      <c r="D6" s="10">
        <v>60</v>
      </c>
      <c r="E6" s="5"/>
      <c r="F6" s="12" t="s">
        <v>51</v>
      </c>
      <c r="G6" s="2"/>
      <c r="H6" s="2"/>
      <c r="I6" s="12" t="s">
        <v>52</v>
      </c>
      <c r="J6" s="2"/>
      <c r="K6" s="2"/>
      <c r="L6" s="5"/>
      <c r="M6" s="5"/>
      <c r="N6" s="5"/>
      <c r="O6" s="5"/>
    </row>
    <row r="7" spans="1:15" s="6" customFormat="1" ht="36.5" customHeight="1">
      <c r="A7" s="8" t="s">
        <v>17</v>
      </c>
      <c r="B7" s="1" t="s">
        <v>18</v>
      </c>
      <c r="C7" s="5" t="s">
        <v>19</v>
      </c>
      <c r="D7" s="10">
        <v>30</v>
      </c>
      <c r="E7" s="5"/>
      <c r="F7" s="12" t="s">
        <v>53</v>
      </c>
      <c r="G7" s="2" t="s">
        <v>54</v>
      </c>
      <c r="H7" s="2"/>
      <c r="I7" s="10"/>
      <c r="J7" s="2"/>
      <c r="K7" s="2"/>
      <c r="L7" s="5"/>
      <c r="M7" s="5"/>
      <c r="N7" s="5"/>
      <c r="O7" s="5"/>
    </row>
    <row r="8" spans="1:15" s="6" customFormat="1" ht="36.5" customHeight="1">
      <c r="A8" s="8" t="s">
        <v>20</v>
      </c>
      <c r="B8" s="1" t="s">
        <v>21</v>
      </c>
      <c r="C8" s="5" t="s">
        <v>22</v>
      </c>
      <c r="D8" s="10">
        <v>40</v>
      </c>
      <c r="E8" s="5"/>
      <c r="F8" s="14"/>
      <c r="G8" s="2"/>
      <c r="H8" s="2"/>
      <c r="I8" s="14"/>
      <c r="J8" s="2"/>
      <c r="K8" s="2"/>
      <c r="L8" s="2"/>
      <c r="M8" s="5"/>
      <c r="N8" s="5"/>
      <c r="O8" s="5"/>
    </row>
    <row r="9" spans="1:15" s="6" customFormat="1" ht="36.5" customHeight="1">
      <c r="A9" s="7" t="s">
        <v>23</v>
      </c>
      <c r="B9" s="1" t="s">
        <v>24</v>
      </c>
      <c r="C9" s="5" t="s">
        <v>25</v>
      </c>
      <c r="D9" s="10">
        <v>40</v>
      </c>
      <c r="E9" s="5"/>
      <c r="F9" s="11" t="s">
        <v>57</v>
      </c>
      <c r="G9" s="2"/>
      <c r="H9" s="2"/>
      <c r="I9" s="11" t="s">
        <v>58</v>
      </c>
      <c r="J9" s="2"/>
      <c r="K9" s="2"/>
      <c r="L9" s="2"/>
      <c r="M9" s="5"/>
      <c r="N9" s="5"/>
      <c r="O9" s="5"/>
    </row>
    <row r="15" spans="1:15">
      <c r="C15" t="s">
        <v>56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B9E5A1-B685-4B73-81B9-9636B0BF305B}"><dimension ref="A1:AH70"/><sheetViews><sheetView tabSelected="1" zoomScale="85" zoomScaleNormal="85" workbookViewId="0"><pane xSplit="4" ySplit="2" topLeftCell="E3" activePane="bottomRight" state="frozen"/><selection pane="topRight" activeCell="D1" sqref="D1"/><selection pane="bottomLeft" activeCell="A3" sqref="A3"/><selection pane="bottomRight" activeCell="E25" sqref="E25"/></sheetView></sheetViews><sheetFormatPr defaultRowHeight="15.5"/><cols><col min="1" max="2" width="13.1796875" style="43" customWidth="1"/><col min="3" max="3" width="50.81640625" bestFit="1" customWidth="1"/><col min="4" max="4" width="11.81640625" style="3" customWidth="1"/><col min="5" max="5" width="33.08984375" bestFit="1" customWidth="1"/><col min="6" max="6" width="15.81640625" customWidth="1"/><col min="7" max="7" width="2.81640625" customWidth="1"/><col min="8" max="8" width="8.90625" customWidth="1"/><col min="9" max="20" width="12.6328125" customWidth="1"/><col min="21" max="21" width="24.36328125" bestFit="1" customWidth="1"/></cols><sheetData><row r="1" spans="1:20" ht="21" customHeight="1"><c r="A1" s="19"/><c r="B1" s="19"/><c r="C1" s="208" t="s"><v>32</v></c><c r="D1" s="21"/><c r="E1" s="210" t="s"><v>45</v></c><c r="F1" s="210" t="s"><v>89</v></c><c r="G1" s="22"/><c r="H1" s="22"/><c r="I1" s="212" t="s"><v>30</v></c><c r="J1" s="213"/><c r="K1" s="188" t="s"><v>88</v></c><c r="L1" s="189"/><c r="M1" s="189"/><c r="N1" s="189"/><c r="O1" s="189"/><c r="P1" s="189"/><c r="Q1" s="189"/><c r="R1" s="189"/><c r="S1" s="189"/><c r="T1" s="190"/></row><row r="2" spans="1:20" ht="21.5" thickBot="1"><c r="A2" s="40"/><c r="B2" s="20"/><c r="C2" s="209"/><c r="D2" s="23"/><c r="E2" s="211"/><c r="F2" s="211"/><c r="G2" s="24"/><c r="H2" s="24"/><c r="I2" s="186"><v>46023</v></c><c r="J2" s="186"><v>46054</v></c><c r="K2" s="25"><v>46082</v></c><c r="L2" s="25"><v>46113</v></c><c r="M2" s="25"><v>46143</v></c><c r="N2" s="25"><v>46174</v></c><c r="O2" s="25"><v>46204</v></c><c r="P2" s="25"><v>46235</v></c><c r="Q2" s="25"><v>46266</v></c><c r="R2" s="25"><v>46296</v></c><c r="S2" s="25"><v>46327</v></c><c r="T2" s="26"><v>46357</v></c></row><row r="3" spans="1:20" s="6" customFormat="1"><c r="A3" s="191" t="s"><v>33</v></c><c r="B3" s="200" t="s"><v>75</v></c><c r="C3" s="198" t="s"><v>34</v></c><c r="D3" s="98" t="s"><v>44</v></c><c r="E3" s="50"/><c r="F3" s="50"><f>SUM(I3:T3)</f><v>138.49580970110392</v></c><c r="G3" s="63"/><c r="H3" s="50" t="s"><v>44</v></c><c r="I3" s="64"><f>[1]PS!F33</f><v>-8.0041073506443645</v></c><c r="J3" s="64"><f>[1]PS!G33</f><v>-56.371988540642391</v></c><c r="K3" s="64"><f>[1]PS!H33</f><v>15.451476552527719</v></c><c r="L3" s="64"><f>[1]PS!I33</f><v>10.395054396427978</v></c><c r="M3" s="64"><f>[1]PS!J33</f><v>-84.392212957896021</v></c><c r="N3" s="64"><f>[1]PS!K33</f><v>27.919959424260362</v></c><c r="O3" s="64"><f>[1]PS!L33</f><v>25.463043791201159</v></c><c r="P3" s="64"><f>[1]PS!M33</f><v>58.695025053276566</v></c><c r="Q3" s="64"><f>[1]PS!N33</f><v>80.136377901245993</v></c><c r="R3" s="64"><f>[1]PS!O33</f><v>73.025201903281229</v></c><c r="S3" s="64"><f>[1]PS!P33</f><v>-25.20930410706255</v></c><c r="T3" s="65"><f>[1]PS!Q33</f><v>21.38728363512821</v></c></row><row r="4" spans="1:20" s="6" customFormat="1"><c r="A4" s="192"/><c r="B4" s="201"/><c r="C4" s="199"/><c r="D4" s="91" t="s"><v>30</v></c><c r="E4" s="49"/><c r="F4" s="101"><f>SUM(I4:T4)</f><v>-131.33231414977226</v></c><c r="G4" s="66"/><c r="H4" s="49" t="s"><v>30</v></c><c r="I4" s="100"><v>-38.217482929999925</v></c><c r="J4" s="100"><v>-35.513019930000048</v></c><c r="K4" s="75"><v>-92.016503850378783</v></c><c r="L4" s="76"><v>-35.138241363366866</v></c><c r="M4" s="76"><v>-120.96210227662299</v></c><c r="N4" s="76"><v>-26.937398841865868</v></c><c r="O4" s="76"><v>13.017395820785733</v></c><c r="P4" s="76"><v>56.489844945421638</v></c><c r="Q4" s="76"><v>80.664639855810208</v></c><c r="R4" s="76"><v>73.962125319723967</v></c><c r="S4" s="76"><v>-28.442020501327022</v></c><c r="T4" s="77"><v>21.760449602047647</v></c></row><row r="5" spans="1:20" s="6" customFormat="1"><c r="A5" s="192"/><c r="B5" s="201"/><c r="C5" s="194" t="s"><v>46</v></c><c r="D5" s="99" t="s"><v>44</v></c><c r="E5" s="50"/><c r="F5" s="50"><f>SUM(I5:T5)</f><v>100.70614523487366</v></c><c r="G5" s="67"/><c r="H5" s="50" t="s"><v>44</v></c><c r="I5" s="68"><f>[1]PS!F39</f><v>-7.537096136457567</v></c><c r="J5" s="68"><f>[1]PS!G39</f><v>-46.051141480169363</v></c><c r="K5" s="68"><f>[1]PS!H39</f><v>11.020583605441262</v></c><c r="L5" s="68"><f>[1]PS!I39</f><v>7.4144039259920307</v></c><c r="M5" s="68"><f>[1]PS!J39</f><v>-68.620090633418783</v></c><c r="N5" s="68"><f>[1]PS!K39</f><v>21.265059009375765</v></c><c r="O5" s="68"><f>[1]PS!L39</f><v>19.84895013158312</v></c><c r="P5" s="68"><f>[1]PS!M39</f><v>46.47182072279093</v></c><c r="Q5" s="68"><f>[1]PS!N39</f><v>63.836061035539878</v></c><c r="R5" s="68"><f>[1]PS!O39</f><v>58.083475027710236</v></c><c r="S5" s="68"><f>[1]PS!P39</f><v>-22.074059517182892</v></c><c r="T5" s="69"><f>[1]PS!Q39</f><v>17.04817954366904</v></c></row><row r="6" spans="1:20" s="6" customFormat="1"><c r="A6" s="192"/><c r="B6" s="201"/><c r="C6" s="199"/><c r="D6" s="96" t="s"><v>30</v></c><c r="E6" s="49"/><c r="F6" s="143"><f>SUM(I6:T6)</f><v>-107.39823313858989</v></c><c r="G6" s="119"/><c r="H6" s="122" t="s"><v>30</v></c><c r="I6" s="123"><v>-28.303921659999922</v></c><c r="J6" s="123"><v>-29.951002390000053</v></c><c r="K6" s="124"><v>-75.281232169682141</v></c><c r="L6" s="76"><v>-29.191383132920784</v></c><c r="M6" s="76"><v>-99.181235651302472</v></c><c r="N6" s="76"><v>-22.545432384298678</v></c><c r="O6" s="76"><v>11.092556784883254</v></c><c r="P6" s="76"><v>45.970906442826191</v></c><c r="Q6" s="76"><v>65.31303945078713</v></c><c r="R6" s="76"><v>59.977683852899467</v></c><c r="S6" s="76"><v>-23.71881983446135</v></c><c r="T6" s="77"><v>18.420607552679488</v></c></row><row r="7" spans="1:20" s="6" customFormat="1"><c r="A7" s="192"/><c r="B7" s="201"/><c r="C7" s="194" t="s"><v>47</v></c><c r="D7" s="96" t="s"><v>44</v></c><c r="E7" s="50"/><c r="F7" s="120"><v>330</v></c><c r="G7" s="119"/><c r="H7" s="120" t="s"><v>44</v></c><c r="I7" s="144"><f>$F$7/12</f><v>27.5</v></c><c r="J7" s="144"><f t="shared" ref="J7:T7" si="0">$F$7/12</f><v>27.5</v></c><c r="K7" s="144"><f t="shared" si="0"/><v>27.5</v></c><c r="L7" s="144"><f t="shared" si="0"/><v>27.5</v></c><c r="M7" s="144"><f t="shared" si="0"/><v>27.5</v></c><c r="N7" s="144"><f t="shared" si="0"/><v>27.5</v></c><c r="O7" s="144"><f t="shared" si="0"/><v>27.5</v></c><c r="P7" s="144"><f t="shared" si="0"/><v>27.5</v></c><c r="Q7" s="144"><f t="shared" si="0"/><v>27.5</v></c><c r="R7" s="144"><f t="shared" si="0"/><v>27.5</v></c><c r="S7" s="144"><f t="shared" si="0"/><v>27.5</v></c><c r="T7" s="144"><f t="shared" si="0"/><v>27.5</v></c></row><row r="8" spans="1:20" s="6" customFormat="1" ht="16" thickBot="1"><c r="A8" s="193"/><c r="B8" s="202"/><c r="C8" s="195"/><c r="D8" s="97" t="s"><v>30</v></c><c r="E8" s="49"/><c r="F8" s="145"><f>4.63+1.09</f><v>5.72</v></c><c r="G8" s="129"/><c r="H8" s="122" t="s"><v>30</v></c><c r="I8" s="146"><f>4.63+1.09</f><v>5.72</v></c><c r="J8" s="187"><v>0</v></c><c r="K8" s="130"/><c r="L8" s="78"/><c r="M8" s="78"/><c r="N8" s="78"/><c r="O8" s="78"/><c r="P8" s="78"/><c r="Q8" s="78"/><c r="R8" s="78"/><c r="S8" s="78"/><c r="T8" s="79"/></row><row r="9" spans="1:20" ht="16" thickBot="1"><c r="A9" s="220" t="s"><v>59</v></c><c r="B9" s="27"/><c r="C9" s="28" t="s"><v>73</v></c><c r="D9" s="29"/><c r="E9" s="47"/><c r="F9" s="147"/><c r="G9" s="148"/><c r="H9" s="147"/><c r="I9" s="149"/><c r="J9" s="149"/><c r="K9" s="149"/><c r="L9" s="149"/><c r="M9" s="149"/><c r="N9" s="149"/><c r="O9" s="149"/><c r="P9" s="149"/><c r="Q9" s="149"/><c r="R9" s="149"/><c r="S9" s="149"/><c r="T9" s="150"/></row><row r="10" spans="1:20" ht="15" customHeight="1"><c r="A10" s="221"/><c r="B10" s="206" t="s"><v>67</v></c><c r="C10" s="205" t="s"><v>109</v></c><c r="D10" s="93" t="s"><v>44</v></c><c r="E10" s="48"/><c r="F10" s="138"><f>SUM(I10:T10)</f><v>98532.93</v></c><c r="G10" s="151"/><c r="H10" s="120" t="s"><v>44</v></c><c r="I10" s="152"><f>'[1]SP-Q'!D9</f><v>5840.7</v></c><c r="J10" s="152"><f>'[1]SP-Q'!E9</f><v>8846.7000000000007</v></c><c r="K10" s="152"><f>'[1]SP-Q'!F9</f><v>6841.326</v></c><c r="L10" s="152"><f>'[1]SP-Q'!G9</f><v>8352.7000000000007</v></c><c r="M10" s="152"><f>'[1]SP-Q'!H9</f><v>9180.0259999999998</v></c><c r="N10" s="152"><f>'[1]SP-Q'!I9</f><v>7372.4259999999995</v></c><c r="O10" s="152"><f>'[1]SP-Q'!J9</f><v>8984.0259999999998</v></c><c r="P10" s="152"><f>'[1]SP-Q'!K9</f><v>8726.0259999999998</v></c><c r="Q10" s="152"><f>'[1]SP-Q'!L9</f><v>8722.2999999999993</v></c><c r="R10" s="152"><f>'[1]SP-Q'!M9</f><v>9280.7000000000007</v></c><c r="S10" s="152"><f>'[1]SP-Q'!N9</f><v>8308.2999999999993</v></c><c r="T10" s="153"><f>'[1]SP-Q'!O9</f><v>8077.7</v></c></row><row r="11" spans="1:20" ht="15" customHeight="1"><c r="A11" s="221"/><c r="B11" s="207"/><c r="C11" s="204"/><c r="D11" s="96" t="s"><v>30</v></c><c r="E11" s="49"/><c r="F11" s="143"><f t="shared" ref="F11:F17" si="1">SUM(I11:T11)</f><v>108791.6967696447</v></c><c r="G11" s="154"/><c r="H11" s="122" t="s"><v>30</v></c><c r="I11" s="155"><v>6569.0877707500003</v></c><c r="J11" s="156"><v>8776.0197092975013</v></c><c r="K11" s="157"><v>8857.9360915517591</v></c><c r="L11" s="157"><v>4898.3759849765265</v></c><c r="M11" s="157"><v>5224.7268004215748</v></c><c r="N11" s="157"><v>10924.738184344158</v></c><c r="O11" s="157"><v>12504.615938449748</v></c><c r="P11" s="157"><v>10529.642042790076</v></c><c r="Q11" s="157"><v>12617.245969301528</v></c><c r="R11" s="157"><v>11849.495597170331</v></c><c r="S11" s="157"><v>7885.4413330778316</v></c><c r="T11" s="158"><v>8154.3713475136574</v></c></row><row r="12" spans="1:20" ht="17" customHeight="1"><c r="A12" s="221"/><c r="B12" s="207"/><c r="C12" s="203" t="s"><v>60</v></c><c r="D12" s="96" t="s"><v>44</v></c><c r="E12" s="50"/><c r="F12" s="120"><f t="shared" si="1"/><v>21446.21</v></c><c r="G12" s="154"/><c r="H12" s="120" t="s"><v>44</v></c><c r="I12" s="159"><f>SUM('[1]SP-Q'!D12:D13)</f><v>1555.8</v></c><c r="J12" s="159"><f>SUM('[1]SP-Q'!E12:E13)</f><v>1444.6000000000001</v></c><c r="K12" s="159"><f>SUM('[1]SP-Q'!F12:F13)</f><v>1816.2</v></c><c r="L12" s="159"><f>SUM('[1]SP-Q'!G12:G13)</f><v>1664.56</v></c><c r="M12" s="159"><f>SUM('[1]SP-Q'!H12:H13)</f><v>1995.3</v></c><c r="N12" s="159"><f>SUM('[1]SP-Q'!I12:I13)</f><v>1768.6</v></c><c r="O12" s="159"><f>SUM('[1]SP-Q'!J12:J13)</f><v>1959.4</v></c><c r="P12" s="159"><f>SUM('[1]SP-Q'!K12:K13)</f><v>1845</v></c><c r="Q12" s="159"><f>SUM('[1]SP-Q'!L12:L13)</f><v>1969.1</v></c><c r="R12" s="159"><f>SUM('[1]SP-Q'!M12:M13)</f><v>1846.6999999999998</v></c><c r="S12" s="159"><f>SUM('[1]SP-Q'!N12:N13)</f><v>1901.68</v></c><c r="T12" s="160"><f>SUM('[1]SP-Q'!O12:O13)</f><v>1679.27</v></c></row><row r="13" spans="1:20"><c r="A13" s="221"/><c r="B13" s="207"/><c r="C13" s="204"/><c r="D13" s="96" t="s"><v>30</v></c><c r="E13" s="49"/><c r="F13" s="161"><f t="shared" si="1"/><v>23077.466296118379</v></c><c r="G13" s="154"/><c r="H13" s="122" t="s"><v>30</v></c><c r="I13" s="155"><v>1777.4785000000002</v></c><c r="J13" s="155"><v>2091.7040000000002</v></c><c r="K13" s="157"><v>1963.2837961183777</v></c><c r="L13" s="157"><v>2300</v></c><c r="M13" s="157"><v>1900</v></c><c r="N13" s="157"><v>1980</v></c><c r="O13" s="157"><v>1855</v></c><c r="P13" s="157"><v>2070</v></c><c r="Q13" s="157"><v>1945</v></c><c r="R13" s="157"><v>1405</v></c><c r="S13" s="157"><v>1945</v></c><c r="T13" s="158"><v>1845</v></c></row><row r="14" spans="1:20" ht="15.5" customHeight="1"><c r="A14" s="221"/><c r="B14" s="207"/><c r="C14" s="203" t="s"><v>61</v></c><c r="D14" s="96" t="s"><v>44</v></c><c r="E14" s="50"/><c r="F14" s="120"><f>SUM(I14:T14)</f><v>26370.25</v></c><c r="G14" s="154"/><c r="H14" s="120" t="s"><v>44</v></c><c r="I14" s="159"><f>'[1]SP-Q'!D17</f><v>2671</v></c><c r="J14" s="159"><f>'[1]SP-Q'!E17</f><v>2585</v></c><c r="K14" s="159"><f>'[1]SP-Q'!F17</f><v>2666</v></c><c r="L14" s="159"><f>'[1]SP-Q'!G17</f><v>1786.4</v></c><c r="M14" s="159"><f>'[1]SP-Q'!H17</f><v>1370</v></c><c r="N14" s="159"><f>'[1]SP-Q'!I17</f><v>1484</v></c><c r="O14" s="159"><f>'[1]SP-Q'!J17</f><v>2094</v></c><c r="P14" s="159"><f>'[1]SP-Q'!K17</f><v>2097</v></c><c r="Q14" s="159"><f>'[1]SP-Q'!L17</f><v>2591</v></c><c r="R14" s="159"><f>'[1]SP-Q'!M17</f><v>2591.85</v></c><c r="S14" s="159"><f>'[1]SP-Q'!N17</f><v>2073</v></c><c r="T14" s="160"><f>'[1]SP-Q'!O17</f><v>2361</v></c></row><row r="15" spans="1:20" ht="14" customHeight="1"><c r="A15" s="221"/><c r="B15" s="207"/><c r="C15" s="204"/><c r="D15" s="96" t="s"><v>30</v></c><c r="E15" s="49"/><c r="F15" s="161"><f t="shared" si="1"/><v>25514.080600721609</v></c><c r="G15" s="154"/><c r="H15" s="122" t="s"><v>30</v></c><c r="I15" s="156"><v>2011.4474</v></c><c r="J15" s="156"><v>1998.3914</v></c><c r="K15" s="157"><v>2378.2418007216074</v></c><c r="L15" s="157"><v>1920</v></c><c r="M15" s="157"><v>1416</v></c><c r="N15" s="157"><v>2386</v></c><c r="O15" s="157"><v>2533</v></c><c r="P15" s="157"><v>2704</v></c><c r="Q15" s="157"><v>2670</v></c><c r="R15" s="157"><v>2063</v></c><c r="S15" s="157"><v>780</v></c><c r="T15" s="158"><v>2654</v></c></row><row r="16" spans="1:20"><c r="A16" s="221"/><c r="B16" s="207" t="s"><v>62</v></c><c r="C16" s="196" t="s"><v>37</v></c><c r="D16" s="96" t="s"><v>44</v></c><c r="E16" s="50"/><c r="F16" s="120"><f>SUM(I16:T16)</f><v>9321</v></c><c r="G16" s="154"/><c r="H16" s="120" t="s"><v>44</v></c><c r="I16" s="80"><f>SUM('[1]SP-Q'!D18:D23)</f><v>648</v></c><c r="J16" s="80"><f>SUM('[1]SP-Q'!E18:E23)</f><v>691</v></c><c r="K16" s="80"><f>SUM('[1]SP-Q'!F18:F23)</f><v>595</v></c><c r="L16" s="80"><f>SUM('[1]SP-Q'!G18:G23)</f><v>653</v></c><c r="M16" s="80"><f>SUM('[1]SP-Q'!H18:H23)</f><v>706</v></c><c r="N16" s="80"><f>SUM('[1]SP-Q'!I18:I23)</f><v>843</v></c><c r="O16" s="80"><f>SUM('[1]SP-Q'!J18:J23)</f><v>800</v></c><c r="P16" s="80"><f>SUM('[1]SP-Q'!K18:K23)</f><v>847</v></c><c r="Q16" s="80"><f>SUM('[1]SP-Q'!L18:L23)</f><v>896</v></c><c r="R16" s="80"><f>SUM('[1]SP-Q'!M18:M23)</f><v>907</v></c><c r="S16" s="80"><f>SUM('[1]SP-Q'!N18:N23)</f><v>858</v></c><c r="T16" s="81"><f>SUM('[1]SP-Q'!O18:O23)</f><v>877</v></c></row><row r="17" spans="1:34" ht="16" thickBot="1"><c r="A17" s="221"/><c r="B17" s="222"/><c r="C17" s="197"/><c r="D17" s="97" t="s"><v>30</v></c><c r="E17" s="51"/><c r="F17" s="162"><f t="shared" si="1"/><v>9866.4258700000028</v></c><c r="G17" s="163"/><c r="H17" s="122" t="s"><v>30</v></c><c r="I17" s="140"><v>769.07580000000189</v></c><c r="J17" s="123"><v>484.5976999999998</v></c><c r="K17" s="124"><v>749.62</v></c><c r="L17" s="76"><v>933.13237000000004</v></c><c r="M17" s="76"><v>806</v></c><c r="N17" s="76"><v>939</v></c><c r="O17" s="76"><v>800</v></c><c r="P17" s="76"><v>1026</v></c><c r="Q17" s="76"><v>1078</v></c><c r="R17" s="76"><v>1154</v></c><c r="S17" s="76"><v>250</v></c><c r="T17" s="77"><v>877</v></c></row><row r="18" spans="1:34" ht="16" thickBot="1"><c r="A18" s="221"/><c r="B18" s="30"/><c r="C18" s="31" t="s"><v>86</v></c><c r="D18" s="32"/><c r="E18" s="52"/><c r="F18" s="164"/><c r="G18" s="165"/><c r="H18" s="164"/><c r="I18" s="166"/><c r="J18" s="166"/><c r="K18" s="166"/><c r="L18" s="166"/><c r="M18" s="166"/><c r="N18" s="166"/><c r="O18" s="166"/><c r="P18" s="166"/><c r="Q18" s="166"/><c r="R18" s="166"/><c r="S18" s="166"/><c r="T18" s="167"/></row><row r="19" spans="1:34"><c r="A19" s="221"/><c r="B19" s="206" t="s"><v>67</v></c><c r="C19" s="205" t="s"><v>68</v></c><c r="D19" s="93" t="s"><v>44</v></c><c r="E19" s="53"/><c r="F19" s="180"><v>700</v></c><c r="G19" s="168"/><c r="H19" s="120" t="s"><v>44</v></c><c r="I19" s="170"><v>700</v></c><c r="J19" s="170"><v>700</v></c><c r="K19" s="170"><v>700</v></c><c r="L19" s="170"><v>700</v></c><c r="M19" s="170"><v>700</v></c><c r="N19" s="170"><v>700</v></c><c r="O19" s="170"><v>700</v></c><c r="P19" s="170"><v>700</v></c><c r="Q19" s="170"><v>700</v></c><c r="R19" s="170"><v>700</v></c><c r="S19" s="170"><v>700</v></c><c r="T19" s="170"><v>700</v></c></row><row r="20" spans="1:34"><c r="A20" s="221"/><c r="B20" s="207"/><c r="C20" s="204"/><c r="D20" s="94" t="s"><v>30</v></c><c r="E20" s="54"/><c r="F20" s="121"><v>617</v></c><c r="G20" s="169"/><c r="H20" s="122" t="s"><v>30</v></c><c r="I20" s="123"><v>592</v></c><c r="J20" s="123"><v>528</v></c><c r="K20" s="124"><v>281</v></c><c r="L20" s="76"><v>495</v></c><c r="M20" s="76"><v>570</v></c><c r="N20" s="76"><v>633</v></c><c r="O20" s="76"><v>676</v></c><c r="P20" s="76"><v>683</v></c><c r="Q20" s="76"><v>687</v></c><c r="R20" s="76"><v>708</v></c><c r="S20" s="76"><v>708</v></c><c r="T20" s="77"><v>700</v></c></row><row r="21" spans="1:34"><c r="A21" s="221"/><c r="B21" s="207"/><c r="C21" s="203" t="s"><v>71</v></c><c r="D21" s="94" t="s"><v>44</v></c><c r="E21" s="55"/><c r="F21" s="170"><v>550</v></c><c r="G21" s="171"/><c r="H21" s="120" t="s"><v>44</v></c><c r="I21" s="170"><v>550</v></c><c r="J21" s="170"><v>550</v></c><c r="K21" s="170"><v>550</v></c><c r="L21" s="170"><v>550</v></c><c r="M21" s="170"><v>550</v></c><c r="N21" s="170"><v>550</v></c><c r="O21" s="170"><v>550</v></c><c r="P21" s="170"><v>550</v></c><c r="Q21" s="170"><v>550</v></c><c r="R21" s="170"><v>550</v></c><c r="S21" s="170"><v>550</v></c><c r="T21" s="170"><v>550</v></c></row><row r="22" spans="1:34"><c r="A22" s="221"/><c r="B22" s="207"/><c r="C22" s="204"/><c r="D22" s="94" t="s"><v>30</v></c><c r="E22" s="54"/><c r="F22" s="123"><v>337</v></c><c r="G22" s="171"/><c r="H22" s="122" t="s"><v>30</v></c><c r="I22" s="123"><v>422</v></c><c r="J22" s="123"><v>325</v></c><c r="K22" s="124"><v>72</v></c><c r="L22" s="76"><v>312</v></c><c r="M22" s="76"><v>218</v></c><c r="N22" s="76"><v>253</v></c><c r="O22" s="76"><v>433</v></c><c r="P22" s="76"><v>370</v></c><c r="Q22" s="76"><v>421</v></c><c r="R22" s="76"><v>437</v></c><c r="S22" s="76"><v>468</v></c><c r="T22" s="77"><v>439</v></c></row><row r="23" spans="1:34"><c r="A23" s="221"/><c r="B23" s="207"/><c r="C23" s="203" t="s"><v>72</v></c><c r="D23" s="94" t="s"><v>44</v></c><c r="E23" s="46"/><c r="F23" s="170"><v>350</v></c><c r="G23" s="169"/><c r="H23" s="120" t="s"><v>44</v></c><c r="I23" s="82"><v>350</v></c><c r="J23" s="82"><v>350</v></c><c r="K23" s="82"><v>350</v></c><c r="L23" s="82"><v>350</v></c><c r="M23" s="82"><v>350</v></c><c r="N23" s="82"><v>350</v></c><c r="O23" s="82"><v>350</v></c><c r="P23" s="82"><v>350</v></c><c r="Q23" s="82"><v>350</v></c><c r="R23" s="82"><v>350</v></c><c r="S23" s="82"><v>350</v></c><c r="T23" s="82"><v>350</v></c></row><row r="24" spans="1:34"><c r="A24" s="221"/><c r="B24" s="207"/><c r="C24" s="204"/><c r="D24" s="94" t="s"><v>30</v></c><c r="E24" s="54"/><c r="F24" s="123"><f>SUM('[2]CS-Total-BMA(n+n2)'!U15,'[2]CS-Total-BMA(n+n2)'!U27,'[2]CS-Total-BMA(n+n2)'!U29:U33)</f><v>219.55027288330504</v></c><c r="G24" s="169"/><c r="H24" s="122" t="s"><v>30</v></c><c r="I24" s="140"><f>SUM('[2]CS-Total-BMA(n+n2)'!F15,'[2]CS-Total-BMA(n+n2)'!F27,'[2]CS-Total-BMA(n+n2)'!F29:F33)</f><v>225.26261664894935</v></c><c r="J24" s="124"><f>SUM('[2]CS-Total-BMA(n+n2)'!G15,'[2]CS-Total-BMA(n+n2)'!G27,'[2]CS-Total-BMA(n+n2)'!G29:G33)</f><v>232.2684729029713</v></c><c r="K24" s="124"><f>SUM('[2]CS-Total-BMA(n+n2)'!H15,'[2]CS-Total-BMA(n+n2)'!H27,'[2]CS-Total-BMA(n+n2)'!H29:H33)</f><v>138.31386775103906</v></c><c r="L24" s="76"><f>SUM('[2]CS-Total-BMA(n+n2)'!I15,'[2]CS-Total-BMA(n+n2)'!I27,'[2]CS-Total-BMA(n+n2)'!I29:I33)</f><v>163.12577847338895</v></c><c r="M24" s="76"><f>SUM('[2]CS-Total-BMA(n+n2)'!J15,'[2]CS-Total-BMA(n+n2)'!J27,'[2]CS-Total-BMA(n+n2)'!J29:J33)</f><v>178.57565889260204</v></c><c r="N24" s="76"><f>SUM('[2]CS-Total-BMA(n+n2)'!K15,'[2]CS-Total-BMA(n+n2)'!K27,'[2]CS-Total-BMA(n+n2)'!K29:K33)</f><v>167.2605616278955</v></c><c r="O24" s="76"><f>SUM('[2]CS-Total-BMA(n+n2)'!L15,'[2]CS-Total-BMA(n+n2)'!L27,'[2]CS-Total-BMA(n+n2)'!L29:L33)</f><v>257.1260539200444</v></c><c r="P24" s="76"><f>SUM('[2]CS-Total-BMA(n+n2)'!M15,'[2]CS-Total-BMA(n+n2)'!M27,'[2]CS-Total-BMA(n+n2)'!M29:M33)</f><v>228.90264598837686</v></c><c r="Q24" s="76"><f>SUM('[2]CS-Total-BMA(n+n2)'!N15,'[2]CS-Total-BMA(n+n2)'!N27,'[2]CS-Total-BMA(n+n2)'!N29:N33)</f><v>232.13594217280283</v></c><c r="R24" s="76"><f>SUM('[2]CS-Total-BMA(n+n2)'!O15,'[2]CS-Total-BMA(n+n2)'!O27,'[2]CS-Total-BMA(n+n2)'!O29:O33)</f><v>282.42706764660335</v></c><c r="S24" s="76"><f>SUM('[2]CS-Total-BMA(n+n2)'!P15,'[2]CS-Total-BMA(n+n2)'!P27,'[2]CS-Total-BMA(n+n2)'!P29:P33)</f><v>291.61792072438607</v></c><c r="T24" s="77"><f>SUM('[2]CS-Total-BMA(n+n2)'!Q15,'[2]CS-Total-BMA(n+n2)'!Q27,'[2]CS-Total-BMA(n+n2)'!Q29:Q33)</f><v>286.46704280429572</v></c></row><row r="25" spans="1:34"><c r="A25" s="221"/><c r="B25" s="207"/><c r="C25" s="203" t="s"><v>69</v></c><c r="D25" s="94" t="s"><v>44</v></c><c r="E25" s="56"/><c r="F25" s="172"><v>750</v></c><c r="G25" s="173"/><c r="H25" s="120" t="s"><v>44</v></c><c r="I25" s="82"><v>750</v></c><c r="J25" s="82"><v>750</v></c><c r="K25" s="82"><v>750</v></c><c r="L25" s="82"><v>750</v></c><c r="M25" s="82"><v>750</v></c><c r="N25" s="82"><v>750</v></c><c r="O25" s="82"><v>750</v></c><c r="P25" s="82"><v>750</v></c><c r="Q25" s="82"><v>750</v></c><c r="R25" s="82"><v>750</v></c><c r="S25" s="82"><v>750</v></c><c r="T25" s="82"><v>750</v></c></row><row r="26" spans="1:34"><c r="A26" s="221"/><c r="B26" s="207"/><c r="C26" s="204"/><c r="D26" s="94" t="s"><v>30</v></c><c r="E26" s="54"/><c r="F26" s="123"><f>SUM('[2]CS-Total MAA'!U15,'[2]CS-Total MAA'!U28,'[2]CS-Total MAA'!U30:U34)</f><v>693.35836668077468</v></c><c r="G26" s="169"/><c r="H26" s="122" t="s"><v>30</v></c><c r="I26" s="123"><f>SUM('[2]CS-Total MAA'!F15,'[2]CS-Total MAA'!F28,'[2]CS-Total MAA'!F30:F34)</f><v>596.47689913519514</v></c><c r="J26" s="123"><f>SUM('[2]CS-Total MAA'!G15,'[2]CS-Total MAA'!G28,'[2]CS-Total MAA'!G30:G34)</f><v>572.38581177388812</v></c><c r="K26" s="124"><f>SUM('[2]CS-Total MAA'!H15,'[2]CS-Total MAA'!H28,'[2]CS-Total MAA'!H30:H34)</f><v>573.17163549747465</v></c><c r="L26" s="76"><f>SUM('[2]CS-Total MAA'!I15,'[2]CS-Total MAA'!I28,'[2]CS-Total MAA'!I30:I34)</f><v>698.36940277222027</v></c><c r="M26" s="76"><f>SUM('[2]CS-Total MAA'!J15,'[2]CS-Total MAA'!J28,'[2]CS-Total MAA'!J30:J34)</f><v>711.3714459956974</v></c><c r="N26" s="76"><f>SUM('[2]CS-Total MAA'!K15,'[2]CS-Total MAA'!K28,'[2]CS-Total MAA'!K30:K34)</f><v>707.30082196265573</v></c><c r="O26" s="76"><f>SUM('[2]CS-Total MAA'!L15,'[2]CS-Total MAA'!L28,'[2]CS-Total MAA'!L30:L34)</f><v>729.94039182929089</v></c><c r="P26" s="76"><f>SUM('[2]CS-Total MAA'!M15,'[2]CS-Total MAA'!M28,'[2]CS-Total MAA'!M30:M34)</f><v>736.88328965737173</v></c><c r="Q26" s="76"><f>SUM('[2]CS-Total MAA'!N15,'[2]CS-Total MAA'!N28,'[2]CS-Total MAA'!N30:N34)</f><v>727.44389537585153</v></c><c r="R26" s="76"><f>SUM('[2]CS-Total MAA'!O15,'[2]CS-Total MAA'!O28,'[2]CS-Total MAA'!O30:O34)</f><v>778.62928422470975</v></c><c r="S26" s="76"><f>SUM('[2]CS-Total MAA'!P15,'[2]CS-Total MAA'!P28,'[2]CS-Total MAA'!P30:P34)</f><v>771.5399682431804</v></c><c r="T26" s="77"><f>SUM('[2]CS-Total MAA'!Q15,'[2]CS-Total MAA'!Q28,'[2]CS-Total MAA'!Q30:Q34)</f><v>769.74694319927289</v></c></row><row r="27" spans="1:34"><c r="A27" s="221"/><c r="B27" s="207" t="s"><v>62</v></c><c r="C27" s="196" t="s"><v>70</v></c><c r="D27" s="94" t="s"><v>44</v></c><c r="E27" s="57"/><c r="F27" s="126"><v>1450</v></c><c r="G27" s="174"/><c r="H27" s="120" t="s"><v>44</v></c><c r="I27" s="126"><v>1450</v></c><c r="J27" s="126"><v>1450</v></c><c r="K27" s="126"><v>1450</v></c><c r="L27" s="126"><v>1450</v></c><c r="M27" s="126"><v>1450</v></c><c r="N27" s="126"><v>1450</v></c><c r="O27" s="126"><v>1450</v></c><c r="P27" s="126"><v>1450</v></c><c r="Q27" s="126"><v>1450</v></c><c r="R27" s="126"><v>1450</v></c><c r="S27" s="126"><v>1450</v></c><c r="T27" s="126"><v>1450</v></c></row><row r="28" spans="1:34" ht="16" thickBot="1"><c r="A28" s="221"/><c r="B28" s="207"/><c r="C28" s="214"/><c r="D28" s="95" t="s"><v>30</v></c><c r="E28" s="58"/><c r="F28" s="175"><f>SUM('[2]CS-All SHEET'!U15,'[2]CS-All SHEET'!U35,'[2]CS-All SHEET'!U37:U41)</f><v>1309.3562838014402</v></c><c r="G28" s="171"/><c r="H28" s="122" t="s"><v>30</v></c><c r="I28" s="176"><f>SUM('[2]CS-All SHEET'!F15,'[2]CS-All SHEET'!F35,'[2]CS-All SHEET'!F37:F41)</f><v>1156.7349756767017</v></c><c r="J28" s="177"><f>SUM('[2]CS-All SHEET'!G15,'[2]CS-All SHEET'!G35,'[2]CS-All SHEET'!G37:G41)</f><v>1574.9517196212528</v></c><c r="K28" s="177"><f>SUM('[2]CS-All SHEET'!H15,'[2]CS-All SHEET'!H35,'[2]CS-All SHEET'!H37:H41)</f><v>1251.6513955138762</v></c><c r="L28" s="83"><f>SUM('[2]CS-All SHEET'!I15,'[2]CS-All SHEET'!I35,'[2]CS-All SHEET'!I37:I41)</f><v>1256.8162550746961</v></c><c r="M28" s="83"><f>SUM('[2]CS-All SHEET'!J15,'[2]CS-All SHEET'!J35,'[2]CS-All SHEET'!J37:J41)</f><v>1278.6006293525472</v></c><c r="N28" s="83"><f>SUM('[2]CS-All SHEET'!K15,'[2]CS-All SHEET'!K35,'[2]CS-All SHEET'!K37:K41)</f><v>1310.0440744329978</v></c><c r="O28" s="83"><f>SUM('[2]CS-All SHEET'!L15,'[2]CS-All SHEET'!L35,'[2]CS-All SHEET'!L37:L41)</f><v>1327.2511189590034</v></c><c r="P28" s="83"><f>SUM('[2]CS-All SHEET'!M15,'[2]CS-All SHEET'!M35,'[2]CS-All SHEET'!M37:M41)</f><v>1326.8992960547951</v></c><c r="Q28" s="83"><f>SUM('[2]CS-All SHEET'!N15,'[2]CS-All SHEET'!N35,'[2]CS-All SHEET'!N37:N41)</f><v>1360.5577319788752</v></c><c r="R28" s="83"><f>SUM('[2]CS-All SHEET'!O15,'[2]CS-All SHEET'!O35,'[2]CS-All SHEET'!O37:O41)</f><v>1293.8624913957058</v></c><c r="S28" s="83"><f>SUM('[2]CS-All SHEET'!P15,'[2]CS-All SHEET'!P35,'[2]CS-All SHEET'!P37:P41)</f><v>1112.8989581109331</v></c><c r="T28" s="84"><f>SUM('[2]CS-All SHEET'!Q15,'[2]CS-All SHEET'!Q35,'[2]CS-All SHEET'!Q37:Q41)</f><v>1332.6612676181608</v></c></row><row r="29" spans="1:34" s="6" customFormat="1"><c r="A29" s="221"/><c r="B29" s="33"/><c r="C29" s="34" t="s"><v>96</v></c><c r="D29" s="35"/><c r="E29" s="59"/><c r="F29" s="132"/><c r="G29" s="133"/><c r="H29" s="132"/><c r="I29" s="134"/><c r="J29" s="134"/><c r="K29" s="134"/><c r="L29" s="134"/><c r="M29" s="134"/><c r="N29" s="134"/><c r="O29" s="134"/><c r="P29" s="134"/><c r="Q29" s="134"/><c r="R29" s="134"/><c r="S29" s="134"/><c r="T29" s="135"/></row><row r="30" spans="1:34" ht="26" customHeight="1"><c r="A30" s="221"/><c r="B30" s="207" t="s"><v>66</v></c><c r="C30" s="196" t="s"><v>77</v></c><c r="D30" s="91" t="s"><v>44</v></c><c r="E30" s="57"/><c r="F30" s="118"><v>1049</v></c><c r="G30" s="119"/><c r="H30" s="120" t="s"><v>44</v></c><c r="I30" s="118"><v>1049</v></c><c r="J30" s="118"><v>1049</v></c><c r="K30" s="118"><v>1049</v></c><c r="L30" s="118"><v>1049</v></c><c r="M30" s="118"><v>1049</v></c><c r="N30" s="118"><v>1049</v></c><c r="O30" s="118"><v>1049</v></c><c r="P30" s="118"><v>1049</v></c><c r="Q30" s="118"><v>1049</v></c><c r="R30" s="118"><v>1049</v></c><c r="S30" s="118"><v>1049</v></c><c r="T30" s="118"><v>1049</v></c><c r="V30" s="17"/><c r="W30" s="17"/><c r="X30" s="17"/><c r="Y30" s="17"/><c r="Z30" s="17"/><c r="AA30" s="17"/><c r="AB30" s="17"/><c r="AC30" s="17"/><c r="AD30" s="17"/><c r="AE30" s="17"/><c r="AF30" s="17"/><c r="AG30" s="17"/><c r="AH30" s="17"/></row><row r="31" spans="1:34" ht="26" customHeight="1"><c r="A31" s="221"/><c r="B31" s="207"/><c r="C31" s="214"/><c r="D31" s="91" t="s"><v>30</v></c><c r="E31" s="60"/><c r="F31" s="121"><v>1331</v></c><c r="G31" s="119"/><c r="H31" s="122" t="s"><v>30</v></c><c r="I31" s="123"><v>1280</v></c><c r="J31" s="123"><v>1229</v></c><c r="K31" s="124"><v>1553</v></c><c r="L31" s="124"><v>1665</v></c><c r="M31" s="124"><v>1763</v></c><c r="N31" s="124"><v>1393</v></c><c r="O31" s="124"><v>1233</v></c><c r="P31" s="124"><v>1182</v></c><c r="Q31" s="124"><v>1132</v></c><c r="R31" s="124"><v>1159</v></c><c r="S31" s="124"><v>1307</v></c><c r="T31" s="125"><v>1233</v></c><c r="X31"><v>1078</v></c></row><row r="32" spans="1:34"><c r="A32" s="221"/><c r="B32" s="207" t="s"><v>92</v></c><c r="C32" s="196" t="s"><v>91</v></c><c r="D32" s="91" t="s"><v>44</v></c><c r="E32" s="60"/><c r="F32" s="82"><v>731</v></c><c r="G32" s="119"/><c r="H32" s="122"/><c r="I32" s="82"><v>731</v></c><c r="J32" s="82"><v>731</v></c><c r="K32" s="82"><v>731</v></c><c r="L32" s="82"><v>731</v></c><c r="M32" s="82"><v>731</v></c><c r="N32" s="82"><v>731</v></c><c r="O32" s="82"><v>731</v></c><c r="P32" s="82"><v>731</v></c><c r="Q32" s="82"><v>731</v></c><c r="R32" s="82"><v>731</v></c><c r="S32" s="82"><v>731</v></c><c r="T32" s="82"><v>731</v></c><c r="U32" t="s"><v>110</v></c></row><row r="33" spans="1:33"><c r="A33" s="221"/><c r="B33" s="207"/><c r="C33" s="214"/><c r="D33" s="91" t="s"><v>30</v></c><c r="E33" s="60"/><c r="F33" s="140"><v>687</v></c><c r="G33" s="119"/><c r="H33" s="122"/><c r="I33" s="140"><v>626</v></c><c r="J33" s="140"><v>674</v></c><c r="K33" s="124"><v>949</v></c><c r="L33" s="124"><v>853</v></c><c r="M33" s="124"><v>783</v></c><c r="N33" s="124"><v>734</v></c><c r="O33" s="124"><v>647</v></c><c r="P33" s="124"><v>631</v></c><c r="Q33" s="124"><v>619</v></c><c r="R33" s="124"><v>624</v></c><c r="S33" s="124"><v>644</v></c><c r="T33" s="125"><v>618</v></c></row><row r="34" spans="1:33"><c r="A34" s="221"/><c r="B34" s="207" t="s"><v>66</v></c><c r="C34" s="196" t="s"><v>93</v></c><c r="D34" s="91" t="s"><v>44</v></c><c r="E34" s="60"/><c r="F34" s="82"><v>246</v></c><c r="G34" s="119"/><c r="H34" s="122"/><c r="I34" s="82"><v>246</v></c><c r="J34" s="82"><v>246</v></c><c r="K34" s="82"><v>246</v></c><c r="L34" s="82"><v>246</v></c><c r="M34" s="82"><v>246</v></c><c r="N34" s="82"><v>246</v></c><c r="O34" s="82"><v>246</v></c><c r="P34" s="82"><v>246</v></c><c r="Q34" s="82"><v>246</v></c><c r="R34" s="82"><v>246</v></c><c r="S34" s="82"><v>246</v></c><c r="T34" s="82"><v>246</v></c></row><row r="35" spans="1:33"><c r="A35" s="221"/><c r="B35" s="207"/><c r="C35" s="214"/><c r="D35" s="91" t="s"><v>30</v></c><c r="E35" s="60"/><c r="F35" s="123"><v>298</v></c><c r="G35" s="119"/><c r="H35" s="122"/><c r="I35" s="123"><v>280.36790472581981</v></c><c r="J35" s="123"><v>266.17326998902229</v></c><c r="K35" s="124"><v>280.47854946267671</v></c><c r="L35" s="124"><v>263.95483009564737</v></c><c r="M35" s="124"><v>356.37952506249326</v></c><c r="N35" s="124"><v>324.43196017956211</v></c><c r="O35" s="124"><v>300.21573537894096</v></c><c r="P35" s="124"><v>290.33442355061743</v></c><c r="Q35" s="124"><v>302.46597002007525</v></c><c r="R35" s="124"><v>307.63630053748273</v></c><c r="S35" s="124"><v>320.48717398428926</v></c><c r="T35" s="125"><v>274.23182508555567</v></c><c r="V35" s="183"><f>-I35</f><v>-280.36790472581981</v></c><c r="W35" s="183"><f t="shared" ref="W35:AE35" si="2">-J35</f><v>-266.17326998902229</v></c><c r="X35" s="183"><f t="shared" si="2"/><v>-280.47854946267671</v></c><c r="Y35" s="183"><f t="shared" si="2"/><v>-263.95483009564737</v></c><c r="Z35" s="183"><f t="shared" si="2"/><v>-356.37952506249326</v></c><c r="AA35" s="183"><f t="shared" si="2"/><v>-324.43196017956211</v></c><c r="AB35" s="183"><f t="shared" si="2"/><v>-300.21573537894096</v></c><c r="AC35" s="183"><f t="shared" si="2"/><v>-290.33442355061743</v></c><c r="AD35" s="183"><f t="shared" si="2"/><v>-302.46597002007525</v></c><c r="AE35" s="183"><f t="shared" si="2"/><v>-307.63630053748273</v></c><c r="AF35" s="183"><f>-S35</f><v>-320.48717398428926</v></c><c r="AG35" s="183"><f t="shared" ref="AG35" si="3">-T35</f><v>-274.23182508555567</v></c></row><row r="36" spans="1:33"><c r="A36" s="221"/><c r="B36" s="207" t="s"><v>74</v></c><c r="C36" s="196" t="s"><v>81</v></c><c r="D36" s="91" t="s"><v>44</v></c><c r="E36" s="61"/><c r="F36" s="126"><v>20</v></c><c r="G36" s="119"/><c r="H36" s="120" t="s"><v>44</v></c><c r="I36" s="126"><v>20</v></c><c r="J36" s="126"><v>20</v></c><c r="K36" s="126"><v>20</v></c><c r="L36" s="126"><v>20</v></c><c r="M36" s="126"><v>20</v></c><c r="N36" s="126"><v>20</v></c><c r="O36" s="126"><v>20</v></c><c r="P36" s="126"><v>20</v></c><c r="Q36" s="126"><v>20</v></c><c r="R36" s="126"><v>20</v></c><c r="S36" s="126"><v>20</v></c><c r="T36" s="126"><v>20</v></c></row><row r="37" spans="1:33"><c r="A37" s="221"/><c r="B37" s="207"/><c r="C37" s="214"/><c r="D37" s="91" t="s"><v>30</v></c><c r="E37" s="60"/><c r="F37" s="121"><v>76</v></c><c r="G37" s="119"/><c r="H37" s="122" t="s"><v>30</v></c><c r="I37" s="123"><v>78.027479999999997</v></c><c r="J37" s="123"><v>78.039709999999999</v></c><c r="K37" s="124"><v>77.462220000000002</v></c><c r="L37" s="124"><v>77.217079999999996</v></c><c r="M37" s="124"><v>77.217079999999996</v></c><c r="N37" s="124"><v>77.217079999999996</v></c><c r="O37" s="124"><v>75.078770000000006</v></c><c r="P37" s="124"><v>75.078770000000006</v></c><c r="Q37" s="124"><v>75.078770000000006</v></c><c r="R37" s="124"><v>75.078770000000006</v></c><c r="S37" s="124"><v>75.078770000000006</v></c><c r="T37" s="125"><v>75.078770000000006</v></c></row><row r="38" spans="1:33"><c r="A38" s="221"/><c r="B38" s="207" t="s"><v>76</v></c><c r="C38" s="196" t="s"><v>82</v></c><c r="D38" s="91" t="s"><v>44</v></c><c r="E38" s="61"/><c r="F38" s="126"><v>66</v></c><c r="G38" s="119"/><c r="H38" s="120" t="s"><v>44</v></c><c r="I38" s="126"><v>66</v></c><c r="J38" s="126"><v>66</v></c><c r="K38" s="126"><v>66</v></c><c r="L38" s="126"><v>66</v></c><c r="M38" s="126"><v>66</v></c><c r="N38" s="126"><v>66</v></c><c r="O38" s="126"><v>66</v></c><c r="P38" s="126"><v>66</v></c><c r="Q38" s="126"><v>66</v></c><c r="R38" s="126"><v>66</v></c><c r="S38" s="126"><v>66</v></c><c r="T38" s="126"><v>66</v></c></row><row r="39" spans="1:33" ht="16" thickBot="1"><c r="A39" s="221"/><c r="B39" s="222"/><c r="C39" s="197"/><c r="D39" s="92" t="s"><v>30</v></c><c r="E39" s="62"/><c r="F39" s="184"><v>109</v></c><c r="G39" s="129"/><c r="H39" s="122" t="s"><v>30</v></c><c r="I39" s="185"><v>109</v></c><c r="J39" s="185"><v>110</v></c><c r="K39" s="130"><v>106</v></c><c r="L39" s="130"><v>96</v></c><c r="M39" s="130"><v>120</v></c><c r="N39" s="130"><v>115</v></c><c r="O39" s="130"><v>107</v></c><c r="P39" s="130"><v>107</v></c><c r="Q39" s="130"><v>108</v></c><c r="R39" s="130"><v>109</v></c><c r="S39" s="130"><v>111</v></c><c r="T39" s="131"><v>105</v></c></row><row r="40" spans="1:33" ht="16" thickBot="1"><c r="A40" s="221"/><c r="B40" s="33"/><c r="C40" s="34" t="s"><v>78</v></c><c r="D40" s="35"/><c r="E40" s="59"/><c r="F40" s="132"/><c r="G40" s="133"/><c r="H40" s="132"/><c r="I40" s="134"/><c r="J40" s="134"/><c r="K40" s="134"/><c r="L40" s="134"/><c r="M40" s="134"/><c r="N40" s="134"/><c r="O40" s="134"/><c r="P40" s="134"/><c r="Q40" s="134"/><c r="R40" s="134"/><c r="S40" s="134"/><c r="T40" s="135"/></row><row r="41" spans="1:33"><c r="A41" s="221"/><c r="B41" s="200" t="s"><v>79</v></c><c r="C41" s="223" t="s"><v>80</v></c><c r="D41" s="109" t="s"><v>44</v></c><c r="E41" s="110"/><c r="F41" s="136"><f>-'[1]CS-Total MMA'!U30</f><v>45.397358309936024</v></c><c r="G41" s="137"/><c r="H41" s="138" t="s"><v>44</v></c><c r="I41" s="136"><f>-'[1]CS-Total MMA'!F30</f><v>15.087994562589911</v></c><c r="J41" s="136"><f>-'[1]CS-Total MMA'!G30</f><v>57.186708152293797</v></c><c r="K41" s="136"><f>-'[1]CS-Total MMA'!H30</f><v>40.308981894557064</v></c><c r="L41" s="136"><f>-'[1]CS-Total MMA'!I30</f><v>51.644087172883694</v></c><c r="M41" s="136"><f>-'[1]CS-Total MMA'!J30</f><v>40.627197073718193</v></c><c r="N41" s="136"><f>-'[1]CS-Total MMA'!K30</f><v>28.770625847084933</v></c><c r="O41" s="136"><f>-'[1]CS-Total MMA'!L30</f><v>48.719648023182629</v></c><c r="P41" s="136"><f>-'[1]CS-Total MMA'!M30</f><v>49.66841488159212</v></c><c r="Q41" s="136"><f>-'[1]CS-Total MMA'!N30</f><v>49.706565525875533</v></c><c r="R41" s="136"><f>-'[1]CS-Total MMA'!O30</f><v>50.340801561568689</v></c><c r="S41" s="136"><f>-'[1]CS-Total MMA'!P30</f><v>41.438076794996945</v></c><c r="T41" s="139"><f>-'[1]CS-Total MMA'!Q30</f><v>58.278253494310583</v></c></row><row r="42" spans="1:33"><c r="A42" s="221"/><c r="B42" s="201"/><c r="C42" s="214"/><c r="D42" s="91" t="s"><v>30</v></c><c r="E42" s="60"/><c r="F42" s="121"><f>-'[2]CS-Total MMA'!$U$30</f><v>47.363764672832865</v></c><c r="G42" s="119"/><c r="H42" s="122" t="s"><v>30</v></c><c r="I42" s="123"><v>54</v></c><c r="J42" s="140"><v>47</v></c><c r="K42" s="124"><v>48</v></c><c r="L42" s="124"><v>30</v></c><c r="M42" s="124"><v>37</v></c><c r="N42" s="124"><v>28</v></c><c r="O42" s="124"><v>49</v></c><c r="P42" s="124"><v>50</v></c><c r="Q42" s="124"><v>50</v></c><c r="R42" s="124"><v>50</v></c><c r="S42" s="124"><v>41</v></c><c r="T42" s="125"><v>58</v></c></row><row r="43" spans="1:33"><c r="A43" s="221"/><c r="B43" s="201"/><c r="C43" s="196" t="s"><v>83</v></c><c r="D43" s="91" t="s"><v>44</v></c><c r="E43" s="57"/><c r="F43" s="126"><f>-'[1]CS-Total MAA'!U30</f><v>125.64059776753545</v></c><c r="G43" s="119"/><c r="H43" s="120" t="s"><v>44</v></c><c r="I43" s="127"><f>-'[1]CS-Total MAA'!F30</f><v>133.90967117351306</v></c><c r="J43" s="127"><f>-'[1]CS-Total MAA'!G30</f><v>135.14203577318534</v></c><c r="K43" s="127"><f>-'[1]CS-Total MAA'!H30</f><v>130.37490657735285</v></c><c r="L43" s="127"><f>-'[1]CS-Total MAA'!I30</f><v>124.03294368290511</v></c><c r="M43" s="127"><f>-'[1]CS-Total MAA'!J30</f><v>107.02674777032419</v></c><c r="N43" s="127"><f>-'[1]CS-Total MAA'!K30</f><v>111.5421315462095</v></c><c r="O43" s="127"><f>-'[1]CS-Total MAA'!L30</f><v>120.42001187990364</v></c><c r="P43" s="127"><f>-'[1]CS-Total MAA'!M30</f><v>120.41229815101192</v></c><c r="Q43" s="127"><f>-'[1]CS-Total MAA'!N30</f><v>128.26251493647428</v></c><c r="R43" s="127"><f>-'[1]CS-Total MAA'!O30</f><v>128.13269464802428</v></c><c r="S43" s="127"><f>-'[1]CS-Total MAA'!P30</f><v>121.65351864242598</v></c><c r="T43" s="128"><f>-'[1]CS-Total MAA'!Q30</f><v>128.57739129271715</v></c></row><row r="44" spans="1:33"><c r="A44" s="221"/><c r="B44" s="201"/><c r="C44" s="214"/><c r="D44" s="91" t="s"><v>30</v></c><c r="E44" s="60"/><c r="F44" s="141"><v>114</v></c><c r="G44" s="119"/><c r="H44" s="122" t="s"><v>30</v></c><c r="I44" s="140"><v>105</v></c><c r="J44" s="140"><v>99</v></c><c r="K44" s="124"><v>93</v></c><c r="L44" s="124"><v>103</v></c><c r="M44" s="124"><v>107</v></c><c r="N44" s="124"><v>116</v></c><c r="O44" s="124"><v>120</v></c><c r="P44" s="124"><v>120</v></c><c r="Q44" s="124"><v>128</v></c><c r="R44" s="124"><v>128</v></c><c r="S44" s="124"><v>122</v></c><c r="T44" s="125"><v>129</v></c></row><row r="45" spans="1:33"><c r="A45" s="221"/><c r="B45" s="201"/><c r="C45" s="196" t="s"><v>84</v></c><c r="D45" s="91" t="s"><v>44</v></c><c r="E45" s="57"/><c r="F45" s="126"><f>-'[1]CS-Total-BMA'!U29</f><v>159.65316193698348</v></c><c r="G45" s="119"/><c r="H45" s="120" t="s"><v>44</v></c><c r="I45" s="127"><f>-'[1]CS-Total-BMA'!F29</f><v>148.96210260788027</v></c><c r="J45" s="127"><f>-'[1]CS-Total-BMA'!G29</f><v>164.38026985226509</v></c><c r="K45" s="127"><f>-'[1]CS-Total-BMA'!H29</f><v>173.94921754335485</v></c><c r="L45" s="127"><f>-'[1]CS-Total-BMA'!I29</f><v>168.3026776042349</v></c><c r="M45" s="127"><f>-'[1]CS-Total-BMA'!J29</f><v>149.83284487222056</v></c><c r="N45" s="127"><f>-'[1]CS-Total-BMA'!K29</f><v>172.17127203972743</v></c><c r="O45" s="127"><f>-'[1]CS-Total-BMA'!L29</f><v>153.83056329690621</v></c><c r="P45" s="127"><f>-'[1]CS-Total-BMA'!M29</f><v>158.41042785547685</v></c><c r="Q45" s="127"><f>-'[1]CS-Total-BMA'!N29</f><v>153.1991276171494</v></c><c r="R45" s="127"><f>-'[1]CS-Total-BMA'!O29</f><v>154.74960306055038</v></c><c r="S45" s="127"><f>-'[1]CS-Total-BMA'!P29</f><v>155.20903155359363</v></c><c r="T45" s="128"><f>-'[1]CS-Total-BMA'!Q29</f><v>166.09297465891959</v></c></row><row r="46" spans="1:33" ht="15.5" customHeight="1"><c r="A46" s="221"/><c r="B46" s="201"/><c r="C46" s="214"/><c r="D46" s="91" t="s"><v>30</v></c><c r="E46" s="60"/><c r="F46" s="141"><v>142</v></c><c r="G46" s="119"/><c r="H46" s="122" t="s"><v>30</v></c><c r="I46" s="140"><v>129</v></c><c r="J46" s="140"><v>122</v></c><c r="K46" s="124"><v>149</v></c><c r="L46" s="124"><v>155</v></c><c r="M46" s="124"><v>140</v></c><c r="N46" s="124"><v>70</v></c><c r="O46" s="124"><v>154</v></c><c r="P46" s="124"><v>158</v></c><c r="Q46" s="124"><v>153</v></c><c r="R46" s="124"><v>155</v></c><c r="S46" s="124"><v>155</v></c><c r="T46" s="125"><v>166</v></c></row><row r="47" spans="1:33" ht="15.5" customHeight="1"><c r="A47" s="221"/><c r="B47" s="201"/><c r="C47" s="196" t="s"><v>85</v></c><c r="D47" s="91" t="s"><v>44</v></c><c r="E47" s="57"/><c r="F47" s="126"/><c r="G47" s="119"/><c r="H47" s="126"/><c r="I47" s="127"/><c r="J47" s="127"/><c r="K47" s="127"/><c r="L47" s="127"/><c r="M47" s="127"/><c r="N47" s="127"/><c r="O47" s="127"/><c r="P47" s="127"/><c r="Q47" s="127"/><c r="R47" s="127"/><c r="S47" s="127"/><c r="T47" s="128"/></row><row r="48" spans="1:33" ht="16" thickBot="1"><c r="A48" s="221"/><c r="B48" s="202"/><c r="C48" s="197"/><c r="D48" s="92" t="s"><v>30</v></c><c r="E48" s="62"/><c r="F48" s="142"/><c r="G48" s="129"/><c r="H48" s="142"/><c r="I48" s="130"/><c r="J48" s="130"/><c r="K48" s="130"/><c r="L48" s="130"/><c r="M48" s="130"/><c r="N48" s="130"/><c r="O48" s="130"/><c r="P48" s="130"/><c r="Q48" s="130"/><c r="R48" s="130"/><c r="S48" s="130"/><c r="T48" s="131"/></row><row r="49" spans="1:20" ht="21"><c r="A49" s="102"/><c r="B49" s="215" t="s"><v>62</v></c><c r="C49" s="179" t="s"><v>95</v></c><c r="D49" s="35"/><c r="E49" s="59"/><c r="F49" s="59"/><c r="G49" s="70"/><c r="H49" s="59"/><c r="I49" s="85"/><c r="J49" s="85"/><c r="K49" s="85"/><c r="L49" s="85"/><c r="M49" s="85"/><c r="N49" s="85"/><c r="O49" s="85"/><c r="P49" s="85"/><c r="Q49" s="85"/><c r="R49" s="85"/><c r="S49" s="85"/><c r="T49" s="86"/></row><row r="50" spans="1:20" ht="21"><c r="A50" s="102"/><c r="B50" s="216"/><c r="C50" s="218" t="s"><v>94</v></c><c r="D50" s="91" t="s"><v>44</v></c><c r="E50" s="105"/><c r="F50" s="181"/><c r="G50" s="66"/><c r="H50" s="106"/><c r="I50" s="181"/><c r="J50" s="181"/><c r="K50" s="181"/><c r="L50" s="181"/><c r="M50" s="181"/><c r="N50" s="181"/><c r="O50" s="181"/><c r="P50" s="181"/><c r="Q50" s="181"/><c r="R50" s="181"/><c r="S50" s="181"/><c r="T50" s="182"/></row><row r="51" spans="1:20" ht="21"><c r="A51" s="102"/><c r="B51" s="216"/><c r="C51" s="219"/><c r="D51" s="91" t="s"><v>30</v></c><c r="E51" s="107"/><c r="F51" s="75"><v>2878</v></c><c r="G51" s="66"/><c r="H51" s="108"/><c r="I51" s="124"><v>2657</v></c><c r="J51" s="124"><v>2952</v></c><c r="K51" s="124"><v>3074</v></c><c r="L51" s="124"><v>2944</v></c><c r="M51" s="124"><v>3048</v></c><c r="N51" s="124"><v>2811</v></c><c r="O51" s="124"><v>2743</v></c><c r="P51" s="124"><v>2589</v></c><c r="Q51" s="124"><v>2479</v></c><c r="R51" s="124"><v>2494</v></c><c r="S51" s="124"><v>6697</v></c><c r="T51" s="125"><v>2723</v></c></row><row r="52" spans="1:20" ht="21.5" thickBot="1"><c r="A52" s="102"/><c r="B52" s="217"/><c r="C52" s="178"/><c r="D52" s="111"/><c r="E52" s="112"/><c r="F52" s="112"/><c r="G52" s="113"/><c r="H52" s="114"/><c r="I52" s="115"/><c r="J52" s="115"/><c r="K52" s="115"/><c r="L52" s="115"/><c r="M52" s="115"/><c r="N52" s="115"/><c r="O52" s="115"/><c r="P52" s="115"/><c r="Q52" s="115"/><c r="R52" s="115"/><c r="S52" s="115"/><c r="T52" s="116"/></row><row r="53" spans="1:20" ht="48.5" customHeight="1"><c r="A53" s="191" t="s"><v>35</v></c><c r="B53" s="41"/><c r="C53" s="44" t="s"><v>36</v></c><c r="D53" s="38"/><c r="E53" s="37"/><c r="F53" s="71"/><c r="G53" s="72"/><c r="H53" s="87"/><c r="I53" s="87"/><c r="J53" s="87"/><c r="K53" s="87"/><c r="L53" s="87"/><c r="M53" s="87"/><c r="N53" s="87"/><c r="O53" s="87"/><c r="P53" s="87"/><c r="Q53" s="87"/><c r="R53" s="87"/><c r="S53" s="87"/><c r="T53" s="88"/></row><row r="54" spans="1:20" ht="45" customHeight="1" thickBot="1"><c r="A54" s="193"/><c r="B54" s="42"/><c r="C54" s="45" t="s"><v>87</v></c><c r="D54" s="39"/><c r="E54" s="36"/><c r="F54" s="73"/><c r="G54" s="74"/><c r="H54" s="89"/><c r="I54" s="89"/><c r="J54" s="89"/><c r="K54" s="89"/><c r="L54" s="89"/><c r="M54" s="89"/><c r="N54" s="89"/><c r="O54" s="89"/><c r="P54" s="89"/><c r="Q54" s="89"/><c r="R54" s="89"/><c r="S54" s="89"/><c r="T54" s="90"/></row><row r="57" spans="1:20"><c r="I57"><v>-54</v></c><c r="J57"><v>-47</v></c><c r="K57"><v>-48</v></c><c r="L57"><v>-30</v></c><c r="M57"><v>-37</v></c><c r="N57"><v>-28</v></c><c r="O57"><v>-49</v></c><c r="P57"><v>-50</v></c><c r="Q57"><v>-50</v></c><c r="R57"><v>-50</v></c><c r="S57"><v>-41</v></c><c r="T57"><v>-58</v></c></row><row r="58" spans="1:20"><c r="I58"><f>-I57</f><v>54</v></c><c r="J58"><f t="shared" ref="J58:T58" si="4">-J57</f><v>47</v></c><c r="K58"><f t="shared" si="4"/><v>48</v></c><c r="L58"><f t="shared" si="4"/><v>30</v></c><c r="M58"><f t="shared" si="4"/><v>37</v></c><c r="N58"><f t="shared" si="4"/><v>28</v></c><c r="O58"><f t="shared" si="4"/><v>49</v></c><c r="P58"><f t="shared" si="4"/><v>50</v></c><c r="Q58"><f t="shared" si="4"/><v>50</v></c><c r="R58"><f t="shared" si="4"/><v>50</v></c><c r="S58"><f t="shared" si="4"/><v>41</v></c><c r="T58"><f t="shared" si="4"/><v>58</v></c></row><row r="59" spans="1:20"><c r="I59"><v>-129</v></c><c r="J59"><v>-122</v></c><c r="K59"><v>-149</v></c><c r="L59"><v>-155</v></c><c r="M59"><v>-140</v></c><c r="N59"><v>-70</v></c><c r="O59"><v>-154</v></c><c r="P59"><v>-158</v></c><c r="Q59"><v>-153</v></c><c r="R59"><v>-155</v></c><c r="S59"><v>-155</v></c><c r="T59"><v>-166</v></c></row><row r="60" spans="1:20"><c r="I60"><f>-I59</f><v>129</v></c><c r="J60"><f t="shared" ref="J60" si="5">-J59</f><v>122</v></c><c r="K60"><f t="shared" ref="K60" si="6">-K59</f><v>149</v></c><c r="L60"><f t="shared" ref="L60" si="7">-L59</f><v>155</v></c><c r="M60"><f t="shared" ref="M60" si="8">-M59</f><v>140</v></c><c r="N60"><f t="shared" ref="N60" si="9">-N59</f><v>70</v></c><c r="O60"><f t="shared" ref="O60" si="10">-O59</f><v>154</v></c><c r="P60"><f t="shared" ref="P60" si="11">-P59</f><v>158</v></c><c r="Q60"><f t="shared" ref="Q60" si="12">-Q59</f><v>153</v></c><c r="R60"><f t="shared" ref="R60" si="13">-R59</f><v>155</v></c><c r="S60"><f t="shared" ref="S60" si="14">-S59</f><v>155</v></c><c r="T60"><f t="shared" ref="T60" si="15">-T59</f><v>166</v></c></row><row r="61" spans="1:20"><c r="C61" t="s"><v>0</v></c><c r="D61" s="3" t="s"><v>1</v></c><c r="E61" t="s"><v>63</v></c><c r="H61" s="224" t="s"><v>30</v></c><c r="I61"><v>-105</v></c><c r="J61"><v>-99</v></c><c r="K61"><v>-93</v></c><c r="L61"><v>-103</v></c><c r="M61"><v>-107</v></c><c r="N61"><v>-116</v></c><c r="O61"><v>-120</v></c><c r="P61"><v>-120</v></c><c r="Q61"><v>-128</v></c><c r="R61"><v>-128</v></c><c r="S61"><v>-122</v></c><c r="T61"><v>-129</v></c></row><row r="62" spans="1:20"><c r="E62" t="s"><v>64</v></c><c r="H62" s="224"/><c r="I62"><f>-I61</f><v>105</v></c><c r="J62"><f t="shared" ref="J62" si="16">-J61</f><v>99</v></c><c r="K62"><f t="shared" ref="K62" si="17">-K61</f><v>93</v></c><c r="L62"><f t="shared" ref="L62" si="18">-L61</f><v>103</v></c><c r="M62"><f t="shared" ref="M62" si="19">-M61</f><v>107</v></c><c r="N62"><f t="shared" ref="N62" si="20">-N61</f><v>116</v></c><c r="O62"><f t="shared" ref="O62" si="21">-O61</f><v>120</v></c><c r="P62"><f t="shared" ref="P62" si="22">-P61</f><v>120</v></c><c r="Q62"><f t="shared" ref="Q62" si="23">-Q61</f><v>128</v></c><c r="R62"><f t="shared" ref="R62" si="24">-R61</f><v>128</v></c><c r="S62"><f t="shared" ref="S62" si="25">-S61</f><v>122</v></c><c r="T62"><f t="shared" ref="T62" si="26">-T61</f><v>129</v></c></row><row r="63" spans="1:20"><c r="C63" s="18" t="s"><v>2</v></c><c r="D63" s="3" t="s"><v>3</v></c><c r="E63" t="s"><v>4</v></c><c r="H63" s="225"/><v>10</v></c><c r="D64" s="3" t="s"><v>6</v></c><c r="E64" t="s"><v>7</v></c><c r="H64" s="225"/><v>5</v></c><c r="D65" s="3" t="s"><v>9</v></c><c r="E65" t="s"><v>10</v></c><c r="H65" s="225"/><v>5</v></c><c r="D66" s="3" t="s"><v>12</v></c><c r="E66" t="s"><v>13</v></c><c r="H66" s="225"/><v>5</v></c><c r="D67" s="3" t="s"><v>15</v></c><c r="E67" t="s"><v>16</v></c><c r="H67" s="225"/><v>5</v></c><c r="D68" s="3" t="s"><v>18</v></c><c r="E68" t="s"><v>19</v></c><c r="F68" t="s"><v>65</v></c><c r="H68" s="225"/><v>5</v></c><c r="D69" s="3" t="s"><v>21</v></c><c r="E69" t="s"><v>22</v></c><c r="H69" s="225"/><v>5</v></c><c r="D70" s="3" t="s"><v>24</v></c><c r="E70" t="s"><v>25</v></c><c r="H70" s="225"><v>5</v></c></row></sheetData><mergeCells count="42"><mergeCell ref="B49:B52"/><mergeCell ref="C50:C51"/><mergeCell ref="A53:A54"/><mergeCell ref="C14:C15"/><mergeCell ref="C43:C44"/><mergeCell ref="A9:A48"/><mergeCell ref="C36:C37"/><mergeCell ref="B36:B37"/><mergeCell ref="B38:B39"/><mergeCell ref="C38:C39"/><mergeCell ref="C41:C42"/><mergeCell ref="B16:B17"/><mergeCell ref="B27:B28"/><mergeCell ref="C27:C28"/><mergeCell ref="C23:C24"/><mergeCell ref="B30:B31"/><mergeCell ref="C30:C31"/><mergeCell ref="B19:B26"/><mergeCell ref="C19:C20"/><mergeCell ref="C21:C22"/><mergeCell ref="C25:C26"/><mergeCell ref="C45:C46"/><mergeCell ref="B41:B48"/><mergeCell ref="C47:C48"/><mergeCell ref="B32:B33"/><mergeCell ref="C32:C33"/><mergeCell ref="B34:B35"/><mergeCell ref="C34:C35"/><mergeCell ref="K1:T1"/><mergeCell ref="A3:A8"/><mergeCell ref="C7:C8"/><mergeCell ref="C16:C17"/><mergeCell ref="C3:C4"/><mergeCell ref="B3:B8"/><mergeCell ref="C12:C13"/><mergeCell ref="C10:C11"/><mergeCell ref="B10:B15"/><mergeCell ref="C1:C2"/><mergeCell ref="F1:F2"/><mergeCell ref="E1:E2"/><mergeCell ref="C5:C6"/><mergeCell ref="I1:J1"/></mergeCells><pageMargins left="0.7" right="0.7" top="0.75" bottom="0.75" header="0.3" footer="0.3"/><pageSetup paperSize="9" orientation="portrait" verticalDpi="0" r:id="rId1"/><legacyDrawing r:id="rId2"/>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3D33-8C6C-4E98-BAB4-FCB3289E3FAD}">
  <dimension ref="A1:B11"/>
  <sheetViews>
    <sheetView workbookViewId="0">
      <selection activeCell="B32" sqref="B32"/>
    </sheetView>
  </sheetViews>
  <sheetFormatPr defaultRowHeight="14.5"/>
  <cols>
    <col min="1" max="1" width="38.26953125" bestFit="1" customWidth="1"/>
    <col min="2" max="2" width="20.90625" customWidth="1"/>
  </cols>
  <sheetData>
    <row r="1" spans="1:2">
      <c r="A1" s="104" t="s">
        <v>90</v>
      </c>
      <c r="B1" s="104" t="s">
        <v>99</v>
      </c>
    </row>
    <row r="2" spans="1:2">
      <c r="A2" s="103" t="s">
        <v>97</v>
      </c>
      <c r="B2" s="117" t="s">
        <v>100</v>
      </c>
    </row>
    <row r="3" spans="1:2">
      <c r="A3" s="103" t="s">
        <v>98</v>
      </c>
      <c r="B3" s="117" t="s">
        <v>101</v>
      </c>
    </row>
    <row r="4" spans="1:2">
      <c r="A4" s="103" t="s">
        <v>102</v>
      </c>
      <c r="B4" s="117" t="s">
        <v>103</v>
      </c>
    </row>
    <row r="5" spans="1:2">
      <c r="A5" s="103" t="s">
        <v>104</v>
      </c>
      <c r="B5" s="117" t="s">
        <v>103</v>
      </c>
    </row>
    <row r="6" spans="1:2">
      <c r="A6" s="103" t="s">
        <v>105</v>
      </c>
      <c r="B6" s="117" t="s">
        <v>106</v>
      </c>
    </row>
    <row r="7" spans="1:2">
      <c r="A7" s="103" t="s">
        <v>107</v>
      </c>
      <c r="B7" s="117" t="s">
        <v>108</v>
      </c>
    </row>
    <row r="8" spans="1:2">
      <c r="A8" s="103"/>
      <c r="B8" s="117"/>
    </row>
    <row r="9" spans="1:2">
      <c r="A9" s="103"/>
      <c r="B9" s="117"/>
    </row>
    <row r="10" spans="1:2">
      <c r="A10" s="103"/>
      <c r="B10" s="117"/>
    </row>
    <row r="11" spans="1:2">
      <c r="A11" s="103"/>
      <c r="B11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6521-48E8-4769-82C8-B39F3167C7A5}">
  <dimension ref="A1"/>
  <sheetViews>
    <sheetView workbookViewId="0">
      <selection activeCell="F30" sqref="F30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Sarut Thongpreecha</dc:creator>
  <cp:lastModifiedBy>Pitsanu Khempet</cp:lastModifiedBy>
  <dcterms:created xsi:type="dcterms:W3CDTF">2026-01-15T14:41:39Z</dcterms:created>
  <dcterms:modified xsi:type="dcterms:W3CDTF">2026-03-25T04:41:41Z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XQReportStart">
    <vt:lpwstr/>
  </property>
  <property fmtid="{D5CDD505-2E9C-101B-9397-08002B2CF9AE}" pid="3" name="MXQReportEnd">
    <vt:lpwstr/>
  </property>
  <property fmtid="{D5CDD505-2E9C-101B-9397-08002B2CF9AE}" pid="4" name="MXQSpotTime">
    <vt:lpwstr/>
  </property>
  <property fmtid="{D5CDD505-2E9C-101B-9397-08002B2CF9AE}" pid="5" name="MSIP_Label_282ec11f-0307-4ba2-9c7f-1e910abb2b8a_Enabled">
    <vt:lpwstr>true</vt:lpwstr>
  </property>
  <property fmtid="{D5CDD505-2E9C-101B-9397-08002B2CF9AE}" pid="6" name="MSIP_Label_282ec11f-0307-4ba2-9c7f-1e910abb2b8a_SetDate">
    <vt:lpwstr>2026-03-18T07:52:35Z</vt:lpwstr>
  </property>
  <property fmtid="{D5CDD505-2E9C-101B-9397-08002B2CF9AE}" pid="7" name="MSIP_Label_282ec11f-0307-4ba2-9c7f-1e910abb2b8a_Method">
    <vt:lpwstr>Standard</vt:lpwstr>
  </property>
  <property fmtid="{D5CDD505-2E9C-101B-9397-08002B2CF9AE}" pid="8" name="MSIP_Label_282ec11f-0307-4ba2-9c7f-1e910abb2b8a_Name">
    <vt:lpwstr>282ec11f-0307-4ba2-9c7f-1e910abb2b8a</vt:lpwstr>
  </property>
  <property fmtid="{D5CDD505-2E9C-101B-9397-08002B2CF9AE}" pid="9" name="MSIP_Label_282ec11f-0307-4ba2-9c7f-1e910abb2b8a_SiteId">
    <vt:lpwstr>5db8bf0e-8592-4ed0-82b2-a6d4d77933d4</vt:lpwstr>
  </property>
  <property fmtid="{D5CDD505-2E9C-101B-9397-08002B2CF9AE}" pid="10" name="MSIP_Label_282ec11f-0307-4ba2-9c7f-1e910abb2b8a_ActionId">
    <vt:lpwstr>87703649-d0ed-42ce-bcdf-e2393af51db0</vt:lpwstr>
  </property>
  <property fmtid="{D5CDD505-2E9C-101B-9397-08002B2CF9AE}" pid="11" name="MSIP_Label_282ec11f-0307-4ba2-9c7f-1e910abb2b8a_ContentBits">
    <vt:lpwstr>0</vt:lpwstr>
  </property>
  <property fmtid="{D5CDD505-2E9C-101B-9397-08002B2CF9AE}" pid="12" name="MSIP_Label_282ec11f-0307-4ba2-9c7f-1e910abb2b8a_Tag">
    <vt:lpwstr>10, 3, 0, 1</vt:lpwstr>
  </property>
</Properties>
</file>